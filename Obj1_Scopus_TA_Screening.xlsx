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riteria &amp; Method" sheetId="1" state="visible" r:id="rId3"/>
    <sheet name="PRISMA counts" sheetId="2" state="visible" r:id="rId4"/>
    <sheet name="Included" sheetId="3" state="visible" r:id="rId5"/>
    <sheet name="Screening log" sheetId="4" state="visible" r:id="rId6"/>
    <sheet name="Stage1 removed" sheetId="5" state="visible" r:id="rId7"/>
  </sheets>
  <definedNames>
    <definedName function="false" hidden="true" localSheetId="2" name="_xlnm._FilterDatabase" vbProcedure="false">Included!$A$1:$L$126</definedName>
    <definedName function="false" hidden="true" localSheetId="3" name="_xlnm._FilterDatabase" vbProcedure="false">'Screening log'!$A$1:$H$2015</definedName>
    <definedName function="false" hidden="true" localSheetId="4" name="_xlnm._FilterDatabase" vbProcedure="false">'Stage1 removed'!$A$1:$F$97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<sst xmlns="http://schemas.openxmlformats.org/spreadsheetml/2006/main" count="15560" uniqueCount="6427">
  <si>
    <t xml:space="preserve">Title/abstract screening – Objective 1</t>
  </si>
  <si>
    <t xml:space="preserve">Objective 1: To study and analyse the security challenges and limitations of existing aviation communication systems.</t>
  </si>
  <si>
    <t xml:space="preserve">Source: Scopus export, 16 Jul 2026 (2,110 records). Screening performed 30 Sep 2026.</t>
  </si>
  <si>
    <t xml:space="preserve">Inclusion criteria (all must hold)</t>
  </si>
  <si>
    <t xml:space="preserve">IC1  Studies an existing aviation communication, navigation or surveillance system used by manned aviation: LDACS, VDL Mode 2/ACARS/CPDLC/ATN, ADS-B/SSR/Mode S/MLAT, TCAS/FLARM, GNSS/SBAS/GBAS in aviation, aeronautical SATCOM, AeroMACS and air–ground broadband links, ILS, VHF voice, on-board avionics networks (MIL-STD-1553, AFDX, avionics wireless, IMA), or ATM-level CNS as a whole.</t>
  </si>
  <si>
    <t xml:space="preserve">IC2  Security is the primary focus: threats, vulnerabilities, attacks (incl. intentional jamming/spoofing), authentication, cryptography, intrusion/anomaly detection for attacks, security architecture, or cyber-risk assessment.</t>
  </si>
  <si>
    <t xml:space="preserve">IC3  Peer-reviewed article, conference paper, review or book chapter, in English.</t>
  </si>
  <si>
    <t xml:space="preserve">Exclusion codes</t>
  </si>
  <si>
    <t xml:space="preserve">E1  Not an aviation communication/CNS system (other domain or generic technique)</t>
  </si>
  <si>
    <t xml:space="preserve">E2  Aviation context, but security is not the primary focus (performance, safety, integrity, non-malicious interference)</t>
  </si>
  <si>
    <t xml:space="preserve">E3  UAS/UAM/UTM or space-traffic specific – outside manned-aviation CNS scope</t>
  </si>
  <si>
    <t xml:space="preserve">E4  Ground IT / airport / enterprise / SWIM information management – not a CNS link or avionics network</t>
  </si>
  <si>
    <t xml:space="preserve">E5  Physical aviation security, human factors, or organisational/policy only</t>
  </si>
  <si>
    <t xml:space="preserve">E6  Not primary peer-reviewed research (book / talk abstract)</t>
  </si>
  <si>
    <t xml:space="preserve">E7  Generic GNSS/SATCOM/jamming technique – not aviation-specific</t>
  </si>
  <si>
    <t xml:space="preserve">Procedure</t>
  </si>
  <si>
    <t xml:space="preserve">Stage 1 (mechanical): removed proceedings front matter ("Conference review"), retracted items, editorials, non-English records and duplicates (normalised title or DOI).</t>
  </si>
  <si>
    <t xml:space="preserve">Stage 2a: records with no security/threat concept anywhere in title, abstract or author keywords were excluded (E1/E2); a manual check of index-keyword-only hits (53 records) confirmed none had a security focus.</t>
  </si>
  <si>
    <t xml:space="preserve">Stage 2b: the remaining 528 records were screened individually on title, and on abstract wherever the title alone was not decisive (~150 abstracts read in full).</t>
  </si>
  <si>
    <t xml:space="preserve">Borderline records were retained (standard PRISMA practice when eligibility is uncertain) and flagged "Borderline – confirm at full text" in the Included sheet.</t>
  </si>
  <si>
    <t xml:space="preserve">Screening was AI-assisted (Claude, Anthropic) and should be reported as such in the methods section; a researcher check of the Included set is recommended before full-text review.</t>
  </si>
  <si>
    <t xml:space="preserve">PRISMA stage</t>
  </si>
  <si>
    <t xml:space="preserve">Records</t>
  </si>
  <si>
    <t xml:space="preserve">Note</t>
  </si>
  <si>
    <t xml:space="preserve">Records identified (Scopus)</t>
  </si>
  <si>
    <t xml:space="preserve">Hardcoded: size of raw export</t>
  </si>
  <si>
    <t xml:space="preserve">Removed before screening – duplicates</t>
  </si>
  <si>
    <t xml:space="preserve">Removed before screening – conference review (front matter)</t>
  </si>
  <si>
    <t xml:space="preserve">Removed before screening – retracted</t>
  </si>
  <si>
    <t xml:space="preserve">Removed before screening – editorial</t>
  </si>
  <si>
    <t xml:space="preserve">Removed before screening – non-English</t>
  </si>
  <si>
    <t xml:space="preserve">Records screened (title/abstract)</t>
  </si>
  <si>
    <t xml:space="preserve">Excluded – E1 not aviation CNS</t>
  </si>
  <si>
    <t xml:space="preserve">Excluded – E2 security not primary focus</t>
  </si>
  <si>
    <t xml:space="preserve">Excluded – E3 UAS/UAM/UTM/space</t>
  </si>
  <si>
    <t xml:space="preserve">Excluded – E4 ground IT/airport/SWIM</t>
  </si>
  <si>
    <t xml:space="preserve">Excluded – E5 physical/human/organisational</t>
  </si>
  <si>
    <t xml:space="preserve">Excluded – E6 not primary research</t>
  </si>
  <si>
    <t xml:space="preserve">Excluded – E7 generic GNSS/SATCOM</t>
  </si>
  <si>
    <t xml:space="preserve">Records retained for full-text eligibility</t>
  </si>
  <si>
    <t xml:space="preserve">   of which borderline</t>
  </si>
  <si>
    <t xml:space="preserve">Check: screened − excluded − retained (must be 0)</t>
  </si>
  <si>
    <t xml:space="preserve">RID</t>
  </si>
  <si>
    <t xml:space="preserve">Authors</t>
  </si>
  <si>
    <t xml:space="preserve">Title</t>
  </si>
  <si>
    <t xml:space="preserve">Year</t>
  </si>
  <si>
    <t xml:space="preserve">Source title</t>
  </si>
  <si>
    <t xml:space="preserve">Document type</t>
  </si>
  <si>
    <t xml:space="preserve">DOI</t>
  </si>
  <si>
    <t xml:space="preserve">Cited by</t>
  </si>
  <si>
    <t xml:space="preserve">System(s)</t>
  </si>
  <si>
    <t xml:space="preserve">Study type</t>
  </si>
  <si>
    <t xml:space="preserve">Confidence</t>
  </si>
  <si>
    <t xml:space="preserve">Abstract</t>
  </si>
  <si>
    <t xml:space="preserve">R0462</t>
  </si>
  <si>
    <t xml:space="preserve">Isikci Y.E.; Utku Yucel S.; Evcil M.; Peker M.E.; Can Babir I.; Cevik Y.</t>
  </si>
  <si>
    <t xml:space="preserve">A Physical-Layer Intrusion Detection Framework for ADS-B Using Differential Constellation Trace</t>
  </si>
  <si>
    <t xml:space="preserve">Integrated Communications, Navigation and Surveillance Conference, ICNS</t>
  </si>
  <si>
    <t xml:space="preserve">Conference paper</t>
  </si>
  <si>
    <t xml:space="preserve">10.1109/ICNS69853.2026.11570263</t>
  </si>
  <si>
    <t xml:space="preserve">ADS-B / SSR / Mode S / MLAT; GNSS / SBAS / GBAS</t>
  </si>
  <si>
    <t xml:space="preserve">Primary</t>
  </si>
  <si>
    <t xml:space="preserve">High</t>
  </si>
  <si>
    <t xml:space="preserve">Automatic Dependent Surveillance-Broadcast (ADS-B) plays a critical role in modern air traffic surveillance by enabling aircraft to periodically broadcast state information such as position, velocity, altitude, and identification. However, ADS-B was designed as an open broadcast protocol without authentication or encryption mechanisms, which makes it vulnerable to spoofing attacks, ranging from simple signal replay to sophisticated transmitter impersonation. Securing the widespread ADS-B infrastructure through protocol modifications or complex hardware updates is cost-prohibitive and highly impractical due to rigorous aviation certification processes. While attack scenarios can be simulated in isolated environments, executing cyberattacks under real-world conditions poses severe safety risks and is highly restricted by aviation regulations. To address these limitations, we propose an unsupervised physical-layer intrusion detection framework for ADS-B based on Differential Constellation Trace (DCT) features and convolutional autoencoders, trained only on benign transmissions. The proposed approach utilizes transmitter-specific signal characteristics introduced by hardware imperfections, while differential processing provides robustness to channel variations and reduces receiver-dependent effects, making it suitable for pulse position modulated ADS-B signals. The proposed method is developed using a real-world dataset comprising raw In-Phase and Quadrature (I/Q) traces from 160 distinct civil aircraft collected over a three-day period. Performance is evaluated against identity impersonation attacks derived from benign transmissions and modeled with realistic hardware imperfections, including Carrier Frequency Offset (CFO), I/Q imbalance, and additive white Gaussian noise (AWGN). Experimental results indicate a high detection performance with an F1-score exceeding 97%, demonstrating that the proposed method effectively identifies anomalous ADS-B transmissions without protocol modifications or reliance on prior knowledge of attack patterns. © 2026 IEEE.</t>
  </si>
  <si>
    <t xml:space="preserve">R0067</t>
  </si>
  <si>
    <t xml:space="preserve">Gorman C.; Toliyat A.; Vatankhah M.; Fuller C.</t>
  </si>
  <si>
    <t xml:space="preserve">A Protocol-Aware AI Framework for Securing CPDLC Communications</t>
  </si>
  <si>
    <t xml:space="preserve">10.1109/ICNS69853.2026.11570578</t>
  </si>
  <si>
    <t xml:space="preserve">CPDLC / ACARS / VDL2 / ATN</t>
  </si>
  <si>
    <t xml:space="preserve">This paper presents a protocol-aware AI framework for monitoring Controller-Pilot Data Link Communications (CPDLC) and supporting real-time anomaly detection in aviation operations. The system combines deterministic, contract-based protocol checks with lightweight machine learning to identify subtle CPDLC violations such as delayed acknowledgments, phase-inconsistent clearances, and ambiguous altitude expressions. To ensure transparency and auditability, detected anomalies are accompanied by explainable "why-flags"that explicitly link statistical alerts to protocol-level rationales and are presented through an operator-facing interface to support human decision-making. Using a fully synthetic CPDLC vignette dataset and a reproducible evaluation pipeline, we demonstrate conservative discriminative performance at a low false positive operating point, along with end-to-end processing latencies that indicate substantial headroom for incorporating more complex analysis without becoming a performance bottleneck. The framework is intentionally conservative and interpretable, and is designed to support future extensions incorporating more advanced learning-based techniques and additional protocol checks in safety-critical aviation communications. © 2026 IEEE.</t>
  </si>
  <si>
    <t xml:space="preserve">R0197</t>
  </si>
  <si>
    <t xml:space="preserve">Ngema N.; Nleya B.; Maswanganyi R.C.</t>
  </si>
  <si>
    <t xml:space="preserve">A Review of Zero Trust Architecture: Principles, Applications, and Implementation Challenges in Communication, Navigation, and Surveillance (CNS) Systems</t>
  </si>
  <si>
    <t xml:space="preserve">Sensors</t>
  </si>
  <si>
    <t xml:space="preserve">Review</t>
  </si>
  <si>
    <t xml:space="preserve">10.3390/s26123813</t>
  </si>
  <si>
    <t xml:space="preserve">Multi-system / ATM-wide</t>
  </si>
  <si>
    <t xml:space="preserve">Review/Survey</t>
  </si>
  <si>
    <t xml:space="preserve">The increasing interconnectivity and digital transformation of Communication, Navigation, and Surveillance (CNS) systems have expanded their attack surface, rendering traditional perimeter-based security models inadequate for protecting these critical infrastructures. Zero Trust Architecture (ZTA), founded on the principle of “never trust, always verify,” offers a paradigm shift towards continuous, context-aware security. This paper presents a literature review investigating the application of ZTA principles to secure modern CNS ecosystems, following the guidelines of the International Civil Aviation Organization (ICAO) through its Cybersecurity Strategy and Plan. We analyze the alignment of ZTA core tenets—such as least-privilege access, micro-segmentation, and continuous authentication—with the unique operational requirements of CNS systems. This paper also presents a cybersecurity framework, under development within the Future Communications Digital Infrastructure (FCDI) project of the SESAR JU program, which aims to assist CNS stakeholders in collaboratively identifying cybersecurity threats within their scope of responsibility. The review critically examines implementation challenges for specific CNS subsystems: secure aeronautical communications (e.g., LDACS), resilient PNT (Positioning, Navigation, and Timing) services, and integrated surveillance networks (e.g., ADS-B, multilateration). Furthermore, we identify and evaluate domain-specific challenges, including integration with legacy avionics and ground systems, managing stringent latency and reliability constraints, and protecting against sophisticated threats targeting supply chains and data fusion processes. By synthesizing current research and practical deployment insights, this review aims to provide a foundational reference for aerospace engineers, cybersecurity specialists, and policymakers, offering a roadmap to enhance the cyber-resilience of vital CNS infrastructure in an era of evolving digital threats. © 2026 by the authors.</t>
  </si>
  <si>
    <t xml:space="preserve">R0043</t>
  </si>
  <si>
    <t xml:space="preserve">Zhang X.; Yao C.; Liu Y.; Zhao B.; Chi C.; Du H.</t>
  </si>
  <si>
    <t xml:space="preserve">Blockchain-Assisted Lightweight Broadcast Encryption With Revocation Support for Secure ADS-B in IoT Aviation</t>
  </si>
  <si>
    <t xml:space="preserve">IEEE Internet of Things Journal</t>
  </si>
  <si>
    <t xml:space="preserve">Article</t>
  </si>
  <si>
    <t xml:space="preserve">10.1109/JIOT.2026.3654126</t>
  </si>
  <si>
    <t xml:space="preserve">Automatic dependent surveillance-broadcast (ADS-B) is widely deployed in both civil and uncrewed aviation networks, yet its plaintext broadcast design leaves it vulnerable to eavesdropping, spoofing, and message forgery. Existing cryptographic solutions incur excessive overhead, depend on complex key infrastructures, and fail to accommodate the broadcast nature of ADS-B, making them unsuitable for real-time internet of things (IoT) aviation scenarios. In this article, we propose ADSB-identity-based broadcast encryption (IBBE), the first lightweight and scalable security scheme tailored for confidential ADS-B broadcast communication in IoT-enabled aerial networks. ADSB-IBBE integrates a novel IBBE construction to enable efficient key distribution, together with a purpose-built, format-preserving stream cipher that secures critical ADS-B fields without extending the message size. It further incorporates a customized sharding consortium blockchain for decentralized identity management and rapid key revocation, while a header compression mechanism reduces transmission overhead. Security analysis confirms indistinguishability against selective-identity chosen ciphertext attacks (IND-sID-CCAs) security under the random oracle model (ROM). Experiments show over 80% lower computational cost and 90% reduced communication overhead compared to the most demanding baseline, with increasing advantages as the number of receivers grows, achieving the lowest overhead of 510-bit header and 80-bit ciphertext. These results demonstrate the suitability of our scheme for secure and efficient ADS-B communication in next-generation IoT-enabled air traffic management (ATM) systems.  © 2026 IEEE.</t>
  </si>
  <si>
    <t xml:space="preserve">R0295</t>
  </si>
  <si>
    <t xml:space="preserve">Patton R.; Jahankhani H.</t>
  </si>
  <si>
    <t xml:space="preserve">How Can Existing Cyber Frameworks Be Better Implemented to Ensure Operational Resilience Within the UK Aviation Industry in the Event of a Cyber-Attack Against Its Mission Critical, Satellite-Based Services?</t>
  </si>
  <si>
    <t xml:space="preserve">Advanced Sciences and Technologies for Security Applications</t>
  </si>
  <si>
    <t xml:space="preserve">Book chapter</t>
  </si>
  <si>
    <t xml:space="preserve">10.1007/978-3-031-96782-5_7</t>
  </si>
  <si>
    <t xml:space="preserve">GNSS / SBAS / GBAS</t>
  </si>
  <si>
    <t xml:space="preserve">The Global Navigation Satellite Systems (GNSS) is used for a large number of essential services worldwide, including the critical communications, navigation and surveillance functions required by commercial and military aircraft to conduct normal operations. A vast increase in GNSS jamming and spoofing attacks, concentrated in and around conflict zones, has forced a review of the UK aviation industry’s resilience to this threat due to the indirect flight safety impact on commercial air traffic operating in affected regions. Numerous cyber security frameworks exist that attempt to offer mitigating controls and promote resilience to prevailing cyber threats, but very few are specific or comprehensive enough to cover the unique nature and complexity of aircraft systems and services. International and domestic aviation bodies offer guidance and discourse about understanding the risk and the need to work collaboratively to combat its effect. A review of existing UK aviation cyber security policy has been conducted within this research, looking specifically at the UK Civil Aviation Authority’s (CAA) Cyber Security Oversight Strategy to identify its strength in threat identification, but also its weakness in mandating mitigating controls, or offering an adequately detailed self-assessment and audit process to bring GNSS system vulnerabilities into scope. The proposed revisions, validated against two separate spoofing case studies, include a requirement to specifically assess GNSS resilience, the incorporation of jamming and spoofing response into pilot simulator training, the improvement of threat intelligence and production of operational notifications, the appraisal of conventional analogue technologies for system redundancy and the enforcement of an audit against the National Cyber Security Centre’s Cyber Assessment Framework (CAF), repeated every 2 years. An aviation CAF overlay, offering specific guidance on successful completion, should also be produced. © The Author(s), under exclusive license to Springer Nature Switzerland AG 2026.</t>
  </si>
  <si>
    <t xml:space="preserve">R0158</t>
  </si>
  <si>
    <t xml:space="preserve">Liu Y.; Zhao B.; Huang X.; Xu R.; Zhang X.; Liu J.; Wu Q.; Susilo W.; Deng R.H.</t>
  </si>
  <si>
    <t xml:space="preserve">Secure Authentication and Encryption With Distributed Management for SAGIN via Signcryption and Sharding Blockchain</t>
  </si>
  <si>
    <t xml:space="preserve">IEEE Transactions on Networking</t>
  </si>
  <si>
    <t xml:space="preserve">10.1109/TON.2025.3647703</t>
  </si>
  <si>
    <t xml:space="preserve">ADS-B / SSR / Mode S / MLAT</t>
  </si>
  <si>
    <t xml:space="preserve">With the development of air transportation, Space-Air-Ground Integrated Network (SAGIN) are playing an increasingly important role in optimizing air traffic management and enhancing flight safety for billions of passengers and trillions dollars of aviation industry. As the key technology of SAGIN, the Automatic Dependent Surveillance-Broadcast (ADS-B) system is widely used due to its simple operation, low construction cost, and high information accuracy. However, the security problems in ADS-B system, including lack of identity authentication between all communication links, crucial information transmitted in plaintext, and susceptibility to the single point of failure, have been serious obstacle to its wide application. Existing solutions fail to account for the unique characteristics of ADS-B and SAGIN, leading to inadequate security and poor performance in these specialized contexts. Aiming to solve the above issues and provide security and scalability for ADS-B system, we conduct the following research. Firstly, an enhanced identity-based broadcast signcryption (e-IBBSC) scheme is designed to keep crucial information confidential and all messages authenticated simultaneously. Secondly, we propose an efficient batch message authentication method combined with the Merkle tree and proposed e-IBBSC, significantly improving the ADS-B message utilization ratio from 1.35% to 74.10%. Thirdly, we utilize the sharding blockchain and Byzantine fault tolerance protocol to design the first sharding-based distributed management system for SAGIN that realizes fault tolerance and scalability. Finally, after a detailed security analysis and comprehensive performance evaluation, we demonstrate that our solution can achieve all proposed system goals including security, scalability, and high performance of 1s flight transaction processing latency and 62KTPS throughput. © 2025 IEEE.</t>
  </si>
  <si>
    <t xml:space="preserve">R0160</t>
  </si>
  <si>
    <t xml:space="preserve">Jiang X.; Yue M.</t>
  </si>
  <si>
    <t xml:space="preserve">Secure access authentication mechanism for aeronautical broadband communication system</t>
  </si>
  <si>
    <t xml:space="preserve">Proceedings of SPIE - The International Society for Optical Engineering</t>
  </si>
  <si>
    <t xml:space="preserve">10.1117/12.3114788</t>
  </si>
  <si>
    <t xml:space="preserve">AeroMACS / A-G broadband / 5G ATG</t>
  </si>
  <si>
    <t xml:space="preserve">Due to the openness of aeronautical broadband communication (ABC) networks and the highly dynamic nature of network nodes, these network systems are easily susceptible to unauthorized data theft and tampering, threatening the security of information within the network. As the first line of defense in network security, access authentication technology can effectively prevent malicious nodes from joining the network and illegally using resources, as well as serve to verify the identities of various nodes within the network. To ensure secure two-way communication for ABC entities, this paper proposes a secure access authentication protocol based on the SM2 algorithm of the State Cryptography Administration and conducts analysis and experiments from the perspectives of security and overhead. The analysis and experiments demonstrate that this scheme can maintain relatively low communication and computational costs while meeting security requirements, addressing the issue of the lack of an identity authentication mechanism in ABC systems. © 2026 SPIE.</t>
  </si>
  <si>
    <t xml:space="preserve">R0338</t>
  </si>
  <si>
    <t xml:space="preserve">Shi Q.; Caleb T.D.; Shao S.; Kaabouch N.</t>
  </si>
  <si>
    <t xml:space="preserve">Security of ADS-B and Remote ID Systems: Cyberattacks, Detection Techniques, and Countermeasures</t>
  </si>
  <si>
    <t xml:space="preserve">10.3390/s26020634</t>
  </si>
  <si>
    <t xml:space="preserve">The aviation sector relies on cooperative surveillance systems such as Automatic Dependent Surveillance-Broadcast (ADS-B) and Remote Identification (RID) to enhance safety and efficiency. However, their open, unencrypted communication protocols make them vulnerable to various cyberattacks. This survey examines the current state of knowledge on attacks, detection techniques, and countermeasures for both ADS-B and RID, addressing a gap in the literature by analyzing them side by side. It categorizes attacks, including emerging threats, reviews detection methods from traditional to modern AI-based approaches and discusses existing countermeasures. Furthermore, this paper provides a list of simulation tools and open-access datasets and identifies current research challenges and future directions. © 2026 by the authors.</t>
  </si>
  <si>
    <t xml:space="preserve">R0437</t>
  </si>
  <si>
    <t xml:space="preserve">Ahmed W.; Masood A.; Manzoor J.</t>
  </si>
  <si>
    <t xml:space="preserve">Toward realistic and lightweight intrusion detection for ADS-B: A comprehensive threat model and multi-attack machine learning evaluation</t>
  </si>
  <si>
    <t xml:space="preserve">Array</t>
  </si>
  <si>
    <t xml:space="preserve">10.1016/j.array.2026.101012</t>
  </si>
  <si>
    <t xml:space="preserve">Automatic Dependent Surveillance–Broadcast (ADS-B) is a critical surveillance technology for modern air traffic management. However, the protocol's open and unencrypted nature exposes it to significant cybersecurity threats. This paper presents a comprehensive and realistic intrusion detection system (IDS) for ADS-B based on machine learning (ML) models. Existing research has primarily focused on limited attack scenarios or binary classification (benign vs. malicious). In contrast, this study introduces a multi-attack evaluation framework covering nine distinct ADS-B attack types under realistic traffic conditions. A novel dataset is constructed by combining real-world ADS-B data from the OpenSky Network with simulated attack scenarios generated using an enhanced OpenScope platform. The dataset includes diverse attack types such as ghost injection, trajectory manipulation, spoofing, and message delay. Furthermore, a structured threat model based on STRIDE and CIA+A principles is proposed to systematically map vulnerabilities to attack behaviors. Three ML models: KNN, SVM, and XGBoost—are implemented and evaluated using multiple performance metrics, including accuracy, precision, recall, F1-score, MCC, ROC-AUC, and PR-AUC. Experimental results show that both KNN and XGBoost achieve high classification accuracy (98.16%) and (98%), significantly outperforming SVM (83%). KNN demonstrates strong macro-level performance (F1-score: 0.95) and low computational overhead, making it suitable for near real-time deployment. The real-time feasibility analysis indicates that the proposed system can support high-density air traffic scenarios through parallel processing. The findings highlight the effectiveness of lightweight ML-based IDS approaches for securing ADS-B communications, while also identifying challenges in detecting temporally subtle attacks such as message delay. To the best of our knowledge, this work is among the first to jointly evaluate multi-attack detection, dataset realism, and real-time deployment feasibility within a unified ADS-B intrusion detection framework. © 2026 The Authors</t>
  </si>
  <si>
    <t xml:space="preserve">R0320</t>
  </si>
  <si>
    <t xml:space="preserve">Yosef R.A.; Hamza A.A.; Rahouma K.H.</t>
  </si>
  <si>
    <t xml:space="preserve">Towards privacy-preserving and real-time GNSS interference detection in ADS-B systems using CNN</t>
  </si>
  <si>
    <t xml:space="preserve">Neural Computing and Applications</t>
  </si>
  <si>
    <t xml:space="preserve">10.1007/s00521-026-11946-y</t>
  </si>
  <si>
    <t xml:space="preserve">The growing dependence on Global Navigation Satellite Systems (GNSS) based aviation systems has exposed vulnerabilities in Automatic Dependent Surveillance-Broadcast (ADS-B), such as susceptibility to interference, jamming, and spoofing attacks. Conventional detection methods often suffer from issues like high false alarm rates, latency issues, and poor adaptability in real-world scenarios. To address these concerns, the current research presents an AI-powered anomaly detection framework that combines Convolutional Neural Network (CNN)-based spatial feature extraction with Gated Recurrent Unit (GRU) based temporal sequence learning, for enhanced real-time detection of GNSS interference in the aviation industry. The proposed CNN-GRU-Based Anomaly Detection and Flight Trajectory Prediction (CNN-GRU ADFTP) takes ADS-B flight telemetry data for training, fusing critical aircraft parameters like latitude, longitude, velocity, altitude, and vertical rate, and demonstrates better accuracy in anomaly detection with fewer false positives compared to traditional machine learning approaches. Geospatial anomaly evaluations also unveil areas of high-risk airspace, highlighting the need for ongoing aviation security monitoring. Although the promising results provided by the suggested framework, challenges like class imbalance and scalability issues persist. Future research will focus on refining model sensitivity, integrating external flight metadata and weather factors, and optimizing edge computing applications for enhancing low-latency processing capabilities in densely populated airspace environments. This study adds to the development of secure and resilient air traffic monitoring systems, thus enhancing aviation safety amidst emerging cyber threats. © The Author(s), under exclusive licence to Springer-Verlag London Ltd., part of Springer Nature 2026.</t>
  </si>
  <si>
    <t xml:space="preserve">R0147</t>
  </si>
  <si>
    <t xml:space="preserve">Junejo A.Z.; Werthwein M.; Annighoefer B.</t>
  </si>
  <si>
    <t xml:space="preserve">A Comprehensive Analysis of Cybersecurity Challenges in Self-Adaptive Avionics: A Plug&amp;Fly Avionics Platform Case Study</t>
  </si>
  <si>
    <t xml:space="preserve">ICSE Workshop on Software Engineering for Adaptive and Self-Managing Systems</t>
  </si>
  <si>
    <t xml:space="preserve">10.1109/SEAMS66627.2025.00022</t>
  </si>
  <si>
    <t xml:space="preserve">On-board avionics networks</t>
  </si>
  <si>
    <t xml:space="preserve">Increasing complexity and availability demands of traditional software systems have derived the need for selfadaptive systems. Self-adaptive systems automatically adjust their behavior at runtime to meet objectives. However, these systems accompany additional challenges specially in terms of security. These challenges include interaction with non-trusted entities, widening of attack surface due to multichannel communication, risk of unauthorized and malicious access to operating environment, and potential exploitation of adaptive mechanisms by attackers. Despite the growing adoption of these systems in avionics, comprehensive study on their cybersecurity assessment is missing. To fill the gap, this study discusses various security vulnerabilities introduced with self-adaptivity in avionics. The aim of the study is to use the Plug&amp;Fly Avionics Platform (PAFA) as a case study, and analyze the impact of selfadaptivity in exposing the system to a wide range of cyber threats such as, faulty decision making, compromise reconfigurations, and so on. Besides detailed analysis of security vulnerabilities introduced with self-adaptivity, the paper also proposes some novel mitigation strategies and demonstrate their effectiveness in achieving a cybersecure adaptive system in the context of PAFA. These findings aim to provide solid basis in future research and development towards securing self-adaptive systems, ensuring both their reliability and safety in complex operational environments. © 2025 IEEE.</t>
  </si>
  <si>
    <t xml:space="preserve">R0494</t>
  </si>
  <si>
    <t xml:space="preserve">Alawida M.</t>
  </si>
  <si>
    <t xml:space="preserve">A New Encryption Algorithm for Secure Aviation Communications</t>
  </si>
  <si>
    <t xml:space="preserve">IEEE Transactions on Systems, Man, and Cybernetics: Systems</t>
  </si>
  <si>
    <t xml:space="preserve">10.1109/TSMC.2025.3613057</t>
  </si>
  <si>
    <t xml:space="preserve">As an integral application within the aerospace and electronic engineering systems, the aviation system relies heavily on secure communication protocols to safeguard sensitive information exchanged during travel and operations. However, many existing communication systems lack adequate security, leaving them vulnerable to adversarial attacks and data exfiltration. While effective in many security protocols, classical encryption algorithms are susceptible to various attacks, including statistical, differential, and side-channel attacks. To address these vulnerabilities, a new cryptographic encryption algorithm is proposed based on the extended Feistel network structure and binary tree structure. This algorithm enhances security measures by segmenting plaintext into blocks of 1024 bits, further divided into left and right halves across four distinct levels. Encryption begins at Level 64, employing a summation-based algorithm and XOR operations to ensure diffusion and confusion properties. The parallel implementation of encryption enhances processing speed while deriving subkeys from a sensitive secret key enhances security against single-bit changes. Experimental assessments and security analyses demonstrate the robustness of the proposed cipher against various attacks. The proposed cipher offers high-quality encryption capabilities, making it an ideal candidate for inclusion in the secure communication protocols of aviation systems. © 2013 IEEE.</t>
  </si>
  <si>
    <t xml:space="preserve">R0093</t>
  </si>
  <si>
    <t xml:space="preserve">Liu P.; Bai T.; Dan Z.; Wang S.; Wang Z.</t>
  </si>
  <si>
    <t xml:space="preserve">A Secure and Low-Latency Design for Ldacs Ground Station Handover</t>
  </si>
  <si>
    <t xml:space="preserve">10.1109/ICNS65417.2025.10976883</t>
  </si>
  <si>
    <t xml:space="preserve">LDACS</t>
  </si>
  <si>
    <t xml:space="preserve">L-band Digital Aeronautical Communications System (LDACS) has been developed to provide a secure and high-throughput aviation communication service. Unfortunately, the state-of-the-art of the LDACS handover mechanism fails to protect station identity information and incurs excessive handover latency. In order to tackle these issues, this paper proposes a secure and low-latency handover scheme, with the aid of anonymous identity and of aircrafts' trajectories. The handover scheme proposed is comprised of two stages, namely, pre-handover and handover. In contrast to the current handover scheme where the ground station is selected for the maximum received power, in our pre-handover stage, the ground station to be connected is predictively pre-selected following the aircraft's trajectory planned. As a benefit, the authentication between the aircraft and the ground station to be connected can be prepared before handover. To realize this, a periodic renewal of temporary identity code is introduced for each key establishment, to attain the anonymity both of aircraft and ground station. Following this, the token including the aforementioned encryption authentication result is sent to the aircraft. In this case, the complicated mutual authentication and key establishment between the aircraft and the ground station to be connected can be avoided, which may accelerate the handover process. As for the handover stage, the aircraft's anonymous identity information along with the token acquired are sent to the next ground station. Then, the aircraft's authenticated result in the token is verified using the private key of LDACS access network. As such, the aircraft can be quickly handed over to the ground station to be connected. To validate the scheme proposed, we rigorously evaluate its security performance using Tamarin Prover and quantify the handover latency relying on OMNeT++ 6.0. It is verified that the scheme proposed is capable of effectively safeguarding station identity information during the handover process, while simultaneously reducing the handover latency. © 2025 IEEE.</t>
  </si>
  <si>
    <t xml:space="preserve">R0351</t>
  </si>
  <si>
    <t xml:space="preserve">Dakshitha K.; Shashank S.S.; Holla R.</t>
  </si>
  <si>
    <t xml:space="preserve">ADS-B Flight Data Acquisition and Secured Transmission</t>
  </si>
  <si>
    <t xml:space="preserve">16th International Conference on Advances in Computing, Control, and Telecommunication Technologies, ACT 2025</t>
  </si>
  <si>
    <t xml:space="preserve">Air traffic control has undergone a revolution due to the emergence of Automatic Dependent Surveillance Broadcast (ADS-B) technology by offering real-time flight information in the realm of civil aviation. Unfortunately, when the ADS-B protocol was first proposed, it lacked encryption and other built-in security features, making it a prime target for fraudulent attacks. The goal of this work is to improve the security of ADS-B data during transmission to address various data vulnerabilities. By utilizing a combined approach that incorporates AES (Advanced Encryption Standard) and SHA-256 (Secure Hash Algorithm), along with hardware-based security measures through an ESP32 and LoRa transmission system, the system ensures robust data security. The research results indicate that AES encryption, while exhibiting slightly higher memory usage compared to SHA-256, maintains effective throughput, thereby ensuring operational efficiency without significantly impacting data transfer rates. © Grenze Scientific Society, 2025.</t>
  </si>
  <si>
    <t xml:space="preserve">R0235</t>
  </si>
  <si>
    <t xml:space="preserve">Albla A.A.; Almani I.A.; Nadweh S.; Ali L.; Tawfeq J.F.; Mahfuri M.</t>
  </si>
  <si>
    <t xml:space="preserve">AI-Driven Enhancements for Secure and Efficient Communication in Aviation Using CSMA and GNU-Radio</t>
  </si>
  <si>
    <t xml:space="preserve">ICCR 2025 - 3rd International Conference on Cyber Resilience</t>
  </si>
  <si>
    <t xml:space="preserve">10.1109/ICCR67387.2025.11291840</t>
  </si>
  <si>
    <t xml:space="preserve">Borderline – confirm at full text</t>
  </si>
  <si>
    <t xml:space="preserve">The current aviation communication systems encounter critical security and efficiency challenges when sending data between the cabin crew and flight deck personnel under severe signal disturbance conditions. Modern airborne network complexities require new combined approaches that produce secure protocols for improved network performance. This research examines serious weaknesses within wireless aviation communications because they remain exposed to surveillance and jamming interaction along with unlawful breach of vital flight information. Prior research does not present any adaptive security model that performs threat detection while ensuring low-latency communication. CSMA protocols that operate conventionally do not have built-in capabilities for adjusting automatically to network condition changes thereby creating poor performance in mobile environments. The development of an AI-enhanced communication framework becomes necessary because existing systems show several deficiencies. A newly developed AI-controlled communication protocol and GNU Radio integration provides improved security performance with increased transmission capability. Machine learning algorithms optimize the adjustment process of contention windows while achieving 98.3% attack detection accuracy through automation of encryption method selection that also includes post-quantum elliptic-curve cryptography support. Various aviation situations allow testing of the system through UHF band (406-475 MHz) operations at USRP hardware. The research findings show how system throughput increased by 54.65% while FER decreased to 0.078% which surpasses present-day methods. The system operates with a latency measurement of less than 100 milliseconds which complies with aviation safety norms. The system establishes dependable communication protocols which function effectively at signal-to-noise ratios that reach to -85 dB. These advancements have created a new state-of-the-art in airborne encryption by connecting artificial intelligence adaptability with military standard encryption security.  © 2025 IEEE.</t>
  </si>
  <si>
    <t xml:space="preserve">R0445</t>
  </si>
  <si>
    <t xml:space="preserve">Ahmed W.; Masood A.; Manzoor J.; Akleylek S.</t>
  </si>
  <si>
    <t xml:space="preserve">Automatic dependent surveillancebroadcast (ADS-B) anomalous messages and attack type detection: deep learning-based architecture</t>
  </si>
  <si>
    <t xml:space="preserve">PeerJ Computer Science</t>
  </si>
  <si>
    <t xml:space="preserve">10.7717/peerj-cs.2886</t>
  </si>
  <si>
    <t xml:space="preserve">Automatic Dependent Surveillance-Broadcast (ADS-B) is a vital communication protocol within air traffic control (ATC) systems. Unlike traditional technologies, ADS-B utilizes the Global Positioning System (GPS) to deliver more accurate and precise location data while reducing operational and deployment costs. It enhances radar coverage and serves as a standalone solution in areas lacking radar services. Despite these advantages, ADS-B faces significant security vulnerabilities due to its open design and the absence of built-in security features. Given its critical role, developing an advanced security framework to classify ADS-B messages and identify various attack types is essential to safeguard the system. This research makes several key contributions to address these challenges. First, it presents a comprehensive review of state-of-the-art machine learning and deep learning techniques, critically analyzing existing methodologies for ADS-B intrusion detection. Second, a detailed attack model is developed, categorizing potential threats and aligning them with key security requirements, including confidentiality, integrity, availability, and authentication. Third, the study proposes a robust and accurate Intrusion Detection System (IDS) using three advanced deep learning models—TabNet, Neural Oblivious Decision Ensembles (NODE), and DeepGBM—to classify ADS-B messages and detect specific attack types. The models are evaluated using standard metrics, including accuracy, precision, recall, and F1-score. Among the tested models, DeepGBM achieves the highest accuracy at 98%, outperforming TabNet (92%) and NODE (96%). The findings offer valuable insights into ADS-B security and define essential requirements for a future security framework, contributing actionable recommendations for mitigating threats in this critical communication protocol. © 2025 Ahmed et al.</t>
  </si>
  <si>
    <t xml:space="preserve">R0132</t>
  </si>
  <si>
    <t xml:space="preserve">Liu L.; Yang H.; Wu Z.; Yue M.</t>
  </si>
  <si>
    <t xml:space="preserve">Aviation Communication Protection Protocol Based on SM4 Cryptography Algorithm</t>
  </si>
  <si>
    <t xml:space="preserve">Communications in Computer and Information Science</t>
  </si>
  <si>
    <t xml:space="preserve">10.1007/978-3-031-71079-7_6</t>
  </si>
  <si>
    <t xml:space="preserve">To maintain efficient traffic flow and flight safety, an internationally standardized air traffic management system (ATM) controls every aircraft operating in the restricted area. Nonetheless, there is a growing and increasingly complicated interchange of information between controllers and pilots. The demands of high-quality, high-capacity, and high-speed aircraft communication may be met by using digital data transmission, but it is impossible to overlook the concealed security issue. Deceiving attackers can silently affect the normal flight of aircraft by invading communication systems. This paper proposes an aviation security communication method based on SM4 encryption algorithm, which establishes a secure data exchange communication channel between the aircraft and the corresponding ground station after the aircraft enters the community. The experimental results show that compared with the traditional communication scheme, this scheme not only has faster message processing speed, stronger message confidentiality, but also has certain resistance to common network attacks. © The Author(s), under exclusive license to Springer Nature Switzerland AG 2025.</t>
  </si>
  <si>
    <t xml:space="preserve">R0087</t>
  </si>
  <si>
    <t xml:space="preserve">Singh Chauhan P.; Pal Singh B.</t>
  </si>
  <si>
    <t xml:space="preserve">Aviation Cybersecurity: A Study of Current Threats, Technologies, and Future Directions</t>
  </si>
  <si>
    <t xml:space="preserve">2025 International Conference on Intelligent Computing and Knowledge Extraction, ICICKE 2025</t>
  </si>
  <si>
    <t xml:space="preserve">10.1109/ICICKE65317.2025.11136699</t>
  </si>
  <si>
    <t xml:space="preserve">This sector is at the heart of global message and commerce, and as its elements become more and more dependent on computing power and net structures. Because aviation is going digital, it has become more vulnerable to cyberattacks like ransomware, phishing, APTs and DoS attacks. This research examines ongoing threats to aviation systems and suggests a system that uses multiple layers to resist such threats. The framework has been developed to include advanced encryption, intrusion detection, endpoint protection and incident response, all with a unique focus on adding lightweight audio encryption (Speck64/128) to aircraft-to-ATC voice communication. To ensure always-on communication, the system features a backup way of communicating when encryption breaks down. Comparing different sets of results, it is clear that the method used strongly cuts down cyberattacks, boosts efficiency and does all this with little increase in latency. Results from simulations show that the framework can handle old systems, grow with increasing needs and operate efficiently. By pointing out the benefits of global standards and ready defense modifications, the research indicates how aviation should stay ready for any emerging cybersecurity issues. © 2025 IEEE.</t>
  </si>
  <si>
    <t xml:space="preserve">R0076</t>
  </si>
  <si>
    <t xml:space="preserve">Voliansky R.; Volianska N.; Arif Y.M.</t>
  </si>
  <si>
    <t xml:space="preserve">Chaos-Based Secured Data Transmission Scheme for Civil Aviation Applications</t>
  </si>
  <si>
    <t xml:space="preserve">Lecture Notes in Networks and Systems</t>
  </si>
  <si>
    <t xml:space="preserve">10.1007/978-3-031-91992-3_27</t>
  </si>
  <si>
    <t xml:space="preserve">Our paper is devoted to studying and designing novel chaotic systems based on known coordinate transformations from one coordinate system into another. As the initial data for such transformation, we take into account a discrete-time model for the generalized dynamical system and show its usage to solve direct and inverse dynamic problems. We consider the solution of the first one to be an equation of a system transmitter, and the last one defines the motion of the receiver subsystem. The above-mentioned transformation is based on the coordinate transformation from a Cartesian coordinate system into an angular one. The use of matrix methods allows us to define highly formalized generalized expressions that perform the above-mentioned direct and inverse coordinate transformations. These expressions and system equations can be considered state space finite difference-algebraic equations. In his case, the transformation equations can be considered as equations of some nonlinear observer. One can rewrite these equations in the finite-difference form to simplify the system analysis by substituting the observer equations into initial system ones. Our studies in solving inverse dynamic problem define several ways that one can consider as backgrounds to establish secured communication schemes. We show the use of our approach by considering the transformation of the well-known Chua circuit dynamic from Cartesian to angular coordinates and vice versa. The studies of these transformations’ results prove the possibility of designing novel chaotic systems. © The Author(s), under exclusive license to Springer Nature Switzerland AG 2025.</t>
  </si>
  <si>
    <t xml:space="preserve">R0096</t>
  </si>
  <si>
    <t xml:space="preserve">Senni V.; Martintoni D.; Leonardon L.; Warns T.; Bertoldi C.</t>
  </si>
  <si>
    <t xml:space="preserve">Collaborative Cybersecurity Framework for CNS</t>
  </si>
  <si>
    <t xml:space="preserve">10.1109/ICNS65417.2025.10976753</t>
  </si>
  <si>
    <t xml:space="preserve">The ever-evolving cybersecurity threat landscape and an increasing threat exposure require a transition to over-arching and harmonized security approaches for future Communication, Navigation, and Surveillance (CNS) systems. Such approaches are essential for end-to-end and interoperable secu-rity measures being prerequisites for the protection of aviation's digital infrastructures. While CNS stakeholders have in place dif-ferent cybersecurity risk management processes and mitigation practices, they often run independently from each other with limited coordination. This paper presents a cybersecurity frame-work, under development within the Future Communications Digital Infrastructure (FCDI) project of the SESAR JU program, to support CNS stakeholders in collaboratively identifying cyber-security threats, defining an end-to-end cybersecurity posture, and refining the identified threats and security objectives per stakeholder scope of responsibility. By the proposed framework, collaborative threat elicitation, which is based on well-established threat modeling methodologies, yields a threat model serving as a cross-stakeholder coordinating artifact as well as an input for supporting each stakeholder's cybersecurity process. Similarly, mitigation is driven by a collaborative approach, fostering the adoption of Zero Trust principles within and across stakeholders' scope of responsibilities. © 2025 IEEE.</t>
  </si>
  <si>
    <t xml:space="preserve">R0409</t>
  </si>
  <si>
    <t xml:space="preserve">Wen C.; Yue M.</t>
  </si>
  <si>
    <t xml:space="preserve">Design and Implementation of a Multi-Level Dynamic Key Management Scheme for Secure Aeronautical Broadband Communication Systems</t>
  </si>
  <si>
    <t xml:space="preserve">Proceedings of 2025 3rd International Conference on Communication Networks and Machine Learning, CNML 2025</t>
  </si>
  <si>
    <t xml:space="preserve">10.1145/3728199.3728277</t>
  </si>
  <si>
    <t xml:space="preserve">In order to meet the high-speed, low latency and high reliability requirements of aviation broadband communication scenarios, this study proposes a light multi-level dynamic key management solution for safe aviation broadband communication systems, which is designed to include root keys, main keys and session density secrets. The three-layer key structure of the key to improve safety and efficiency. The national secret algorithm provided by the domestic password card hardware has achieved symmetrical key generation, distribution, dynamic updates and security storage mechanisms. The method proposed by this study can ensure the security of the forefront, minimize risks and reduce key management overhead, which provides a key guarantee for the data security transmission process of the aviation broadband communication system. © 2025 Copyright held by the owner/author(s).</t>
  </si>
  <si>
    <t xml:space="preserve">R0341</t>
  </si>
  <si>
    <t xml:space="preserve">Ali M.; Hu Y.-F.; Li J.-P.</t>
  </si>
  <si>
    <t xml:space="preserve">Federated Learning Augmented Cybersecurity for SDN-Based Aeronautical Communication Network</t>
  </si>
  <si>
    <t xml:space="preserve">Electronics (Switzerland)</t>
  </si>
  <si>
    <t xml:space="preserve">10.3390/electronics14081535</t>
  </si>
  <si>
    <t xml:space="preserve">With the requirements of government data protection regulations and industrial concerns regarding data protection and privacy, the security level required for data privacy and protection has increased. This has led researchers to investigate techniques that can train cybersecurity machine learning (ML) models without sharing personal data. Federated Learning (FL) is a newly developed decentralized and distributed ML mechanism that emphasize privacy. In this technique, a learning algorithm is trained without collecting or exchanging sensitive data from distributed client models running at different locations. With the rapid increase in the number of cybersecurity attacks reported in the aviation industry in the last two decades, strong, dynamic, and effective countermeasures are required to protect the aviation industry and air passengers against such attacks, which can most of the time lead to catastrophic situations. This paper proposes and implements an FL model for identifying cyberattacks on a Software Defined Network (SDN)-based aeronautical communication networks. The machine learning model used in the FL architecture is a Deep Neural Network (DNN) model. The publicly available National Security Laboratory–Knowledge Discovery and Datamining (NSL-KDD) dataset was employed to train and validate the proposed FL model. The simulation results illustrated that the FL-based system can accurately and effectively identify potential cybersecurity attacks and minimize the risk of data and service exposure without degrading model performance. A comparison was also made between the FL and non-FL machine learning models. Preliminary results demonstrated that the FL model outperformed the non-FL machine learning approaches. FL reached an accuracy of 96%, compared to 76% and 83% for NFL. © 2025 by the authors.</t>
  </si>
  <si>
    <t xml:space="preserve">R0224</t>
  </si>
  <si>
    <t xml:space="preserve">Niles F.; Cooper W.; El-Arini B.; Rouck D.</t>
  </si>
  <si>
    <t xml:space="preserve">Ground-Based Detection and Categorization of GPS Interference using NOAA CORS Data</t>
  </si>
  <si>
    <t xml:space="preserve">Proceedings of the International Technical Meeting of the Satellite Division of The Institute of Navigation, ION GNSS+</t>
  </si>
  <si>
    <t xml:space="preserve">10.33012/2025.20302</t>
  </si>
  <si>
    <t xml:space="preserve">Global Navigation Satellite System (GNSS) RFI is well known to interfere with aviation and other uses of GNSS-based Position, Navigation and Timing (PNT), creating safety, security and other challenges for the various uses of GNSS. Use of a network of geographically dispersed dedicated GNSS receivers that explicitly detect both jamming and spoofing has been suggested by previous research. A range of detection methods are presented based on received power, range, and position errors. The principal challenge of using this data source to detect jamming and spoofing is that it contains many abnormalities, most of which are not attributed human-caused local interference. Algorithm methods attempt to separate causes of poor performance between GPS signal reception multipath errors due to GPS receiver antenna siting, solar atmospheric events, and human-caused temporary local interference. A GPS receiver antenna siting issue that causes multipath degradation of the received GPS signal will be present every day for the same azimuth and elevation. An atmospheric issue will typically be very widespread, affecting many stations. Therefore, for human-caused local interference the detector is searching for events of limited duration affecting one or a few stations in a local area. A technique is introduced to create a custom elevation mask based on specific site performance over the length of a year by azimuth angle. This variable elevation mask will allow the disregarding of the data where there are known consistent challenges to signal reception. A method to set expectations of received signal power versus satellites elevation is also described. Each detection metric is assigned a threshold value that is set to balance false alarms with missed detection probabilities. A detection of interference occurs when the detection metric exceeds the threshold value. © 2025 The MITRE Corporation. All Rights Reserved.</t>
  </si>
  <si>
    <t xml:space="preserve">R0204</t>
  </si>
  <si>
    <t xml:space="preserve">Banakinao W.; Kouevi F.; Ba M.; Kpanzou T.A.; Ouya S.</t>
  </si>
  <si>
    <t xml:space="preserve">Integrated Risk Management in Civil Aviation: Contribution of Bayesian and AI Models to the Assessment of Cybersecurity Risks in Aviation Safety and Security</t>
  </si>
  <si>
    <t xml:space="preserve">Proceedings of the 2nd International Symposium on Parallel Computing and Distributed Systems, PCDS 2025</t>
  </si>
  <si>
    <t xml:space="preserve">10.1109/PCDS68697.2025.11415268</t>
  </si>
  <si>
    <t xml:space="preserve">The civil aviation sector is experiencing sustained growth, accompanied by a profound digital transformation of communication, navigation, surveillance and information-management systems. This increasing interconnection of critical infrastructures exposes aviation to new cybersecurity threats likely to affect safety, security and the continuity of operations. This paper proposes an integrated approach to the assessment and management of cyber risks applied to critical aeronautical systems, within a risk-based civil aviation security (AVSEC) logic. The methodology is based on the modelling of attack scenarios targeting the main technical domains and the overall set of critical infrastructures of international civil aviation, followed by the evaluation of three key components: the threat directed against the target (utility) denoted by (U), vulnerability (V ) and consequences (C). Each component is quantified on three levels and weighted to compute a raw risk value. A Bayesian probabilistic model is then used to integrate uncertainty related to data and to the evolution of the threat context, while a non-linear interaction term accounts for dependencies between U, V and C. The approach is illustrated using representative scenarios, notably a denial-of-service attack on VHF communications. The results show that this assessment framework provides a relevant decision-support tool to strengthen the resilience of aeronautical systems, guide technical and organisational protection measures and concretely integrate cybersecurity into civil aviation security programmes, in line with the orientations of ICAO, EASA and risk-management guidelines [1], [2], [4]-[7], [12]. © 2025 IEEE.</t>
  </si>
  <si>
    <t xml:space="preserve">R0381</t>
  </si>
  <si>
    <t xml:space="preserve">Ilyenko A.; Gnatyuk S.; Ilyenko S.; Prokopenko O.; Teliushchenko V.</t>
  </si>
  <si>
    <t xml:space="preserve">Module for Detecting and Analyzing Cyber Threats in Information and Communication Systems of Civil Aviation Facilities</t>
  </si>
  <si>
    <t xml:space="preserve">CEUR Workshop Proceedings</t>
  </si>
  <si>
    <t xml:space="preserve">This paper focuses on the problems of ensuring cybersecurity of civil aviation information and communication systems, that are critical for flight safety and the functioning of the industry overall. With the growth of information flows, the complexity of communication systems, and the increasing frequency of cyber threats, it is imperative to develop effective methods for detecting and neutralizing attacks. The paper highlights the current cybersecurity challenges in the aviation sector, including DoS, DDoS, XSS, CSRF, and ransomware attacks. The paper analyses threat detection methods, including signature-based, anomaly analysis, machine learning, and combined approaches. The architecture of the module for detecting and analyzing cyber threats using combined machine learning models, such as Random Forest, MLP, and SVM, is provided. This allows the system to increase its accuracy and sensitivity, reduce the number of false positives, and ensure adaptability to new threats. In particular, the results of the study showed an increase in attack detection accuracy by 1.05-1.48 times, sensitivity by 1.02 times, and predictive ability by 2.18 times. The module is based on an integrated approach that includes real-time data collection, pre-processing, analysis based on machine learning algorithms, and automatic threat response. The proposed system demonstrates high efficiency in real-time conditions, protecting the surface-to-air and air-to-air channels. It can be adapted for other critical industries. Thus, the proposed solution is a promising tool for ensuring cybersecurity in civil aviation and critical infrastructure in general. © 2025 Copyright for this paper by its authors.</t>
  </si>
  <si>
    <t xml:space="preserve">R0234</t>
  </si>
  <si>
    <t xml:space="preserve">Felux M.; Figuet B.; Lenders V.; Monstein R.; Strohmeier M.</t>
  </si>
  <si>
    <t xml:space="preserve">Navigating Turbulence: Understanding New GNSS Risks in Conflict Zones</t>
  </si>
  <si>
    <t xml:space="preserve">International Conference on Cyber Conflict, CYCON</t>
  </si>
  <si>
    <t xml:space="preserve">10.23919/CyCon65856.2025.11103718</t>
  </si>
  <si>
    <t xml:space="preserve">Aviation's dependency on global navigation satellite systems (GNSSs) has highlighted the vulnerability of aircraft to jamming and spoofing attacks, which pose significant safety and security challenges. These threats, created and exacerbated by recent geopolitical conflicts, underscore the necessity for monitoring and mitigating GNSS interference to ensure the integrity of aviation systems. This paper examines the impact of GNSS interference on civil and military aviation, focusing on its operational and safety implications. By building a new tool that exploits Automatic Dependent Surveillance-Broadcast (ADS-B) data, we identify hotspots of GNSS jamming and spoofing in conflict zones during 2024 in regions such as the Black Sea, Eastern Mediterranean, and the India-Pakistan border during peak periods. Daily detections peaked at 1,500 flights, declining to about 500 flights by late 2024. Finally, we discuss the applicability of existing countermeasures, such as cryptographic authentication, multi-constellation GNSS usage, and data fusion with inertial systems. While promising, these methods face challenges in widespread adoption due to technical, operational, and regulatory constraints. Our results contribute to understanding the evolving nature of GNSS threats and demonstrate the need for collaborative international efforts to develop resilient aviation navigation systems. By prioritizing GNSS interference monitoring and mitigation, the aviation sector can enhance safety, operational reliability, and preparedness against future threats.  © 2025 NATO CCDCOE.</t>
  </si>
  <si>
    <t xml:space="preserve">R0411</t>
  </si>
  <si>
    <t xml:space="preserve">Garcia M.A.; Sirigu G.; Dolan J.</t>
  </si>
  <si>
    <t xml:space="preserve">Observations of Trends in GPS Anomalies Affecting Aviation</t>
  </si>
  <si>
    <t xml:space="preserve">10.1109/ICNS65417.2025.10976970</t>
  </si>
  <si>
    <t xml:space="preserve">The Global Positioning System (GPS) serves a central role in most aircraft systems: supporting communications, navigation, and surveillance. Recently, over the last few years, the scale and severity of jamming and spoofing of aircraft GPS systems has increased and diversified significantly. Aireon can observe such impacts via its comprehensive Space-Based Automatic Dependent Surveillance Broadcast (ADS-B) receiver system, which collects billions of aircraft-transmitted ADS-B messages per day in real-time. Patterns and trends of GPS anomalies can be analyzed in this extensive geo-temporal dataset, which can be used in applications such as airspace monitoring and flight planning. In this paper, the scope of GPS anomaly incursion from state and/or non-state actors is viewed at the global as well as the local level. © 2025 IEEE.</t>
  </si>
  <si>
    <t xml:space="preserve">R0222</t>
  </si>
  <si>
    <t xml:space="preserve">Spalas K.; Kolokotronis N.</t>
  </si>
  <si>
    <t xml:space="preserve">Post-Quantum Security Evaluation of Aeronautical Communications</t>
  </si>
  <si>
    <t xml:space="preserve">Proceedings of the 2025 IEEE International Conference on Cyber Security and Resilience, CSR 2025</t>
  </si>
  <si>
    <t xml:space="preserve">10.1109/CSR64739.2025.11130013</t>
  </si>
  <si>
    <t xml:space="preserve">The L-Band Digital Aeronautical Communication System (LDACS) aims to transform aviation communications into a quantum-safe setup, where recent proposals utilize Physical Unclonable Functions (PUFs) as an authentication mechanism and quantum-safe algorithms as a Key Encapsulation Mechanism (KEM). However, the existence of novel techniques that predict the behavior of PUFs, along with severe vulnerabilities in PostQuantum Cryptography (PQC) schemes being exploitable by attacks running on classical computing infrastructures, raises concerns about their security. In this context, the paper performs a security assessment of LDACS and the extent to which the secret quantities used during the mutual authentication between an aircraft and ground control can be disclosed. It is shown that an intelligent quantum preimage algorithm can reveal these aforementioned PUF secret quantities, which are also susceptible to sophisticated side channel attacks even on isolated workstations. In addition, information set decoding and entropy are used to evaluate the strength of the proposed KEMs for LDACS, which are also benchmarked to identify trade-offs between security and performance. Overall, our findings suggest a hardware implementation of CRYSTALS-Kyber as KEM, to further reduce latency, and the utilization of a public key infrastructure for authentication.  © 2025 IEEE.</t>
  </si>
  <si>
    <t xml:space="preserve">R0343</t>
  </si>
  <si>
    <t xml:space="preserve">Malik A.; Rao M.</t>
  </si>
  <si>
    <t xml:space="preserve">Radio Frequency Interference, Its Mitigation and Its Implications for the Civil Aviation Industry</t>
  </si>
  <si>
    <t xml:space="preserve">10.3390/electronics14122483</t>
  </si>
  <si>
    <t xml:space="preserve">ILS / landing systems</t>
  </si>
  <si>
    <t xml:space="preserve">Radio Frequency Interference has emerged as a growing challenge for aviation safety and system integrity due to the increasing spectral overlap between communication technologies and aviation systems. This paper investigates the sources, types, and consequences of RFI in Global Navigation Satellite Systems, Instrument Landing Systems, and altimeters used in civil aviation. A detailed examination of both intentional and unintentional interference is presented, highlighting real-world incidents and simulated impact models. The study analyzes technical mechanisms such as receiver desensitization, intermodulation, and cross-modulation, and further explores UAV-based interference detection frameworks. Mitigation strategies are reviewed, including regulatory practices, spectrum filters, shielding architectures, and dynamic UAV sensing systems. Comparative insights into simulation results, shielding techniques, and regulatory gaps are discussed. The paper concludes with recommendations for enhancing current aviation standards and suggests a hybrid validation model combining in-flight measurements with simulation-based assessments. This research contributes to the understanding of electromagnetic vulnerabilities in aviation and provides a basis for future mitigation protocols. © 2025 by the authors.</t>
  </si>
  <si>
    <t xml:space="preserve">R0482</t>
  </si>
  <si>
    <t xml:space="preserve">Lu D.; Jiang W.</t>
  </si>
  <si>
    <t xml:space="preserve">Real-time evaluation method for multi-parameter GNSS interference based on factor analysis</t>
  </si>
  <si>
    <t xml:space="preserve">10.1117/12.3070629</t>
  </si>
  <si>
    <t xml:space="preserve">The Global Navigation Satellite System is widely applied in the civil aviation sector, making the reliability of its service performance a major concern for users. However, various types of interference, such as multipath interference, jamming, and spoofing, severely degrade system service quality and may pose safety risks. Traditional navigation performance evaluation methods primarily rely on post-event analysis, which fails to provide timely interference monitoring and alerts. To address this issue, this paper proposes a real-time interference assessment method based on factor analysis. Key real-time evaluation indicators, including Carrier-to-Noise Ratio, Code Tracking Error Standard Deviation, Carrier Tracking Error Standard Deviation, Geometric Dilution of Precision, and Pseudo Range Residuals, are selected for assessment. The proposed method evaluates GNSS performance under different interference conditions, employs factor analysis to fuse the evaluation indicators, and computes factor scores. Based on civil aviation standards, the assessment results are categorized into five alert levels. Finally, real-time interference warning messages are sent to users according to the severity level, providing instant interference monitoring and risk alerts for GNSS services. © 2025 SPIE.</t>
  </si>
  <si>
    <t xml:space="preserve">R0198</t>
  </si>
  <si>
    <t xml:space="preserve">Chen Z.; Zhu H.; Lv S.</t>
  </si>
  <si>
    <t xml:space="preserve">Research on Security Analysis and Testing Technology of Avionics Systems Based on MIL-STD-1553B</t>
  </si>
  <si>
    <t xml:space="preserve">2025 5th International Conference on Mechatronics Technology and Aerospace Engineering, ICMTAE 2025</t>
  </si>
  <si>
    <t xml:space="preserve">10.1109/ICMTAE66890.2025.11427924</t>
  </si>
  <si>
    <t xml:space="preserve">The avionics bus system is the core system for aircraft information processing, undertaking critical tasks of data communication and control system transmission. The security of avionics buses is a key issue to be addressed in the field of network security testing technology. This paper develops a kill chain threat model specific to MIL-STD-1553B (hereinafter referred to as 1553B) avionics systems by referencing traditional security kill chain research. It constructs a simulation environment for avionics bus systems based on RPCIE1553 boards and conducts research on security-related testing technologies using the 1553B avionics bus, which is widely applied in military and industrial fields. Since security issues in avionics bus systems may affect the normal operation of the entire aviation system, research on network security test and evaluation technologies for avionics buses is particularly important.  © 2025 IEEE.</t>
  </si>
  <si>
    <t xml:space="preserve">R0094</t>
  </si>
  <si>
    <t xml:space="preserve">Shang J.</t>
  </si>
  <si>
    <t xml:space="preserve">Research on the Reliability and Security Model of Aviation Communication Network</t>
  </si>
  <si>
    <t xml:space="preserve">2025 IEEE 3rd International Conference on Control, Electronics and Computer Technology, ICCECT 2025</t>
  </si>
  <si>
    <t xml:space="preserve">10.1109/ICCECT64621.2025.11339842</t>
  </si>
  <si>
    <t xml:space="preserve">This paper proposes a new reliability and security model of aviation communication network, and analyzes its performance by experimental simulation. First, a reliability evaluation model based on graph theory and Markov chain is designed, and the fault tolerance and recovery ability of the network are improved by combining redundancy mechanism and recovery strategy; secondly, a comprehensive security protection algorithm is proposed through game theory and intrusion detection technology to deal with various network attack threats. The experiment results indicate that the recovery time of the system can be reduced by 23.5% on average, and the system is able to prevent 95.3% DDoS attacks and guarantee the security of data transfer. Finally, it is proved that the reliability and safety model presented in this paper can significantly improve the overall performance of aviation communication network, especially in the case of complicated failure and attack. Compared with the traditional method, the performance of the system is improved by 17.8%• The research provides a new way to optimize the reliability and safety of aviation communication network, and provides the basis for the application and development of future network techniques. © 2025 IEEE.</t>
  </si>
  <si>
    <t xml:space="preserve">R0361</t>
  </si>
  <si>
    <t xml:space="preserve">Wu Z.; Sun M.; Fang T.; Lei J.; Yue M.</t>
  </si>
  <si>
    <t xml:space="preserve">Secure Transmission Technology for Aviation Broadband Communication System</t>
  </si>
  <si>
    <t xml:space="preserve">2025 International Conference on Future Communications and Networks, FCN 2025 - Proceedings</t>
  </si>
  <si>
    <t xml:space="preserve">10.1109/FCN66513.2025.11296659</t>
  </si>
  <si>
    <t xml:space="preserve">As air transportation expands and present civil aviation communications systems reach their capacity limits in high-density locations, the requirement for new aeronautical communications technology becomes becoming increasingly important. Aviation broadband communication system (ABCS), as a key infrastructure for building the next generation air traffic control system, possess advantages such as low latency, high reliability, and large bandwidth to meet the growing demands of air transportation. However, these systems lack effective information security measures which pose security risks to ground-to-air data transmission. This paper proposes a secure transmission technology for ABCS based on the SM series cipher. The proposed approach utilizes SM4 for data encryption, SM3 for data integrity protection, and Timed Efficient Stream Loss-tolerant Authentication (TESLA) for message source authentication. The experimental results show that this scheme has faster encryption and decryption speeds, lower security overheads, and it can effectively resist the tampering attack, which meets the security requirements of ABCS.  © 2025 IEEE.</t>
  </si>
  <si>
    <t xml:space="preserve">R0221</t>
  </si>
  <si>
    <t xml:space="preserve">Digregorio G.; Saputelli E.; Longari S.; Carminati M.; Zanero S.</t>
  </si>
  <si>
    <t xml:space="preserve">Swarm: A Distributed Ledger-based Framework to Enhance Air Traffic Control Security Using ADS-B Protocol</t>
  </si>
  <si>
    <t xml:space="preserve">ACM Transactions on Privacy and Security</t>
  </si>
  <si>
    <t xml:space="preserve">10.1145/3759456</t>
  </si>
  <si>
    <t xml:space="preserve">In aviation, safety is paramount, with air traffic control (ATC) playing a crucial role in monitoring aircraft to prevent collisions and manage traffic flows. In response to increasing air traffic, a renewal process has been initiated. This includes deploying the automatic dependent surveillance-broadcast (ADS-B) communications protocol, which aims to enhance surveillance precision and increase the number of aircraft that can be handled simultaneously. This transition is transforming ATC from a radar-based system to a more advanced satellite-based global positioning system (GPS) location tracking system. However, due to its inherently open design, the ADS-B protocol lacks critical security features such as authentication, necessitating the adoption of additional security measures to mitigate potential cyber-attacks. To address these vulnerabilities, this work introduces Swarm, an innovative distributed ledger-based framework, built on top of the ADS-B protocol and aimed at enhancing the security of air traffic control (ATC) while avoiding single points of failure. Swarm can be integrated into existing ATC infrastructure without requiring any modifications to the ADS-B protocol. We evaluate Swarm through rigorous and realistic attack scenarios, using real-world aviation data, demonstrating its capability to enhance the security of the aviation domain. © 2025 Copyright held by the owner/author(s).</t>
  </si>
  <si>
    <t xml:space="preserve">R0058</t>
  </si>
  <si>
    <t xml:space="preserve">Werthwein M.; Annighoefer B.; Daw Z.</t>
  </si>
  <si>
    <t xml:space="preserve">Towards Continuous Security Assessment: Integrating Model-Based Risk Assessment and Large Language Models</t>
  </si>
  <si>
    <t xml:space="preserve">10.1109/ICNS65417.2025.10976786</t>
  </si>
  <si>
    <t xml:space="preserve">Cyber threats and attacks on aircraft ground infrastructure as well as communication, navigation, and surveillance service providers have increased significantly in recent years. Due to the dynamic nature of cyber threats, a once securely designed architecture will not stay secure throughout its life-cycle. Ensuring the safety and security of large systems of systems requires continuous reassessment of security risks. Currently, while useful building blocks exist, no comprehensive framework supports the continuous and automated risk reassessment in aviation. To address this gap, we propose a conceptual framework that integrates model-based system specification, model-based security assessment, and Large Language Models (LLMs) to automate the continuous reassessment of residual risks in cyber-physical systems. This framework dynamically analyzes and adapts to emerging threats, enabling proactive and up-to-date risk management. This paper outlines the high-level requirements of the proposed framework and presents a state-of-the-art analysis of technology readiness and existing gaps necessary for its implementation. To demonstrate its feasibility and effectiveness, we apply the framework to an Air Traffic Management use case. © 2025 IEEE.</t>
  </si>
  <si>
    <t xml:space="preserve">R0461</t>
  </si>
  <si>
    <t xml:space="preserve">Katsuya R.; Liu X.</t>
  </si>
  <si>
    <t xml:space="preserve">Trust and Resilience in Connected Aviation Systems</t>
  </si>
  <si>
    <t xml:space="preserve">2025 Cyber Awareness and Research Symposium, CARS 2025</t>
  </si>
  <si>
    <t xml:space="preserve">10.1109/CARS67163.2025.11337615</t>
  </si>
  <si>
    <t xml:space="preserve">Connected aviation systems increasingly depend on external inputs that are treated as authoritative by default. Using two documented incidents-a 2022 analysis of Global Navigation Satellite Systems (GNSS) disruptions in European airspace based on Automatic Dependent Surveillance-Broadcast (ADS-B) observations and the 2025 hacktivist distributed denial of service (DDoS) attack against Los Angeles International Airport's public-facing services-this paper examines how implicit trust in positioning, navigation, and timing (PNT) accuracy and in service availability allows erroneous or missing data to influence operations before monitoring alarms converge, enabling cascades. A cross-case, socio-technical analysis identifies where trust assumptions are embedded in workflows and derives resilience design directions. Findings indicate that technical safeguards are necessary but insufficient. Impact is bounded most effectively when trust calibration is paired with resilience-by-design mechanisms. The study proposes operational metrics-mean time to detect (MTTD), mean time to recover (MTTR), recovery time objectives, and cascade depth (CD)-to evaluate improvements across incidents and exercises.  © 2025 IEEE.</t>
  </si>
  <si>
    <t xml:space="preserve">R0024</t>
  </si>
  <si>
    <t xml:space="preserve">Evcil M.; Tok Z.Y.; Sandıkkaya M.T.</t>
  </si>
  <si>
    <t xml:space="preserve">Unsupervised Attack Detection on MIL-STD-1553 Bus for Avionic Platforms</t>
  </si>
  <si>
    <t xml:space="preserve">10.1007/978-3-031-73417-5_3</t>
  </si>
  <si>
    <t xml:space="preserve">Avionic platforms are increasingly reliant on sophisticated onboard software and next-generation communication systems to carry out their operations. However, the expanding connectivity capabilities also introduce security vulnerabilities and the potential for attacks, posing significant challenges to the safety of these systems. In particular, the MIL-STD-1553 military standard, widely used as a serial communication protocol for mission-critical systems, lacks specific design considerations for security. The absence of authentication mechanisms in it allows for the potential impersonation of the Bus Controller (BC) and the injection of fake command words. Such attacks pose significant risks to the safety and integrity of mission-critical systems, highlighting the need for robust security measures. In this paper, we propose an unsupervised machine learning technique for anomaly detection on the MIL-STD-1553 communication bus using real platform data. We introduce a novel voting ensemble technique that combines Nearest Neighbors with thresholding algorithms such as Elliptical Boundary, Median Absolute Deviation, and Z-Score. The evaluation results demonstrate that our solution outperforms existing unsupervised machine learning techniques. The proposed method is very likely to be dependable and useful, as it provides a zero false positive rate. © The Author(s), under exclusive license to Springer Nature Switzerland AG 2025.</t>
  </si>
  <si>
    <t xml:space="preserve">R0431</t>
  </si>
  <si>
    <t xml:space="preserve">Dabit A.; Al-Fayoumi M.; Mahmoud K.</t>
  </si>
  <si>
    <t xml:space="preserve">A Secure Regional Authentication Layer for Global ADS-B Communications</t>
  </si>
  <si>
    <t xml:space="preserve">2024 International Jordanian Cybersecurity Conference, IJCC 2024</t>
  </si>
  <si>
    <t xml:space="preserve">10.1109/IJCC64742.2024.10847276</t>
  </si>
  <si>
    <t xml:space="preserve">Automatic Dependent Surveillance-Broadcast (ADS-B) is widely deployed in modern aviation to provide accurate positional data for aircraft. However, ADS-B suffers from vulnerabilities due to the lack of encryption and authentication, making it susceptible to spoofing and tampering attacks. This paper proposes an authentication framework for the ADS-B system using Elliptic Curve Cryptography (ECC) and evaluates the security and performance of this system through both simulation and analytical models. The proposed scheme enhances ADS-B security without compromising realtime performance. Simulation results show the effectiveness of the framework, with a modest increase in computational overhead and significant improvements in data integrity and authentication robustness  © 2024 IEEE.</t>
  </si>
  <si>
    <t xml:space="preserve">R0265</t>
  </si>
  <si>
    <t xml:space="preserve">Li H.; Sang Y.; Ge H.; Yan J.; Li S.</t>
  </si>
  <si>
    <t xml:space="preserve">Anomaly detection of aviation data bus based on SAE and IMD</t>
  </si>
  <si>
    <t xml:space="preserve">Computers and Security</t>
  </si>
  <si>
    <t xml:space="preserve">10.1016/j.cose.2023.103619</t>
  </si>
  <si>
    <t xml:space="preserve">GNSS / SBAS / GBAS; On-board avionics networks</t>
  </si>
  <si>
    <t xml:space="preserve">To detect remote terminal (RT) spoofing attacks on MIL-STD-1553B data bus and prevent the network paralysis of integrated avionics system (IAS) caused by misjudgment, an anomaly detection method of aviation data bus based on the combination of sparse autoencoder (SAE) and integrated mahalanobis distance (IMD) is proposed. Aiming at the communication traffic training set with only normal data, an unsupervised learning algorithm SAE is used to train a model that only represents normal behavior. To combine the feature information of each layer within SAE, the IMD, which can measure the similarity between data characteristics, is used to obtain the anomaly score of test data, and the comprehensive anomaly score (CAS) is obtained by considering the reconstruction error between SAE input and output. To solve the problem that data distribution and detection requirements were not considered in a single threshold, a heuristic multi-threshold selection method is proposed, which maximizes the performance of the classifier by considering the accuracy, youden index (YI), and F1. The experimental results demonstrate the effectiveness and feasibility of the method. © 2023 Elsevier Ltd</t>
  </si>
  <si>
    <t xml:space="preserve">R0193</t>
  </si>
  <si>
    <t xml:space="preserve">Saleem A.; Turtiainen H.; Costin A.; Hämäläinen T.</t>
  </si>
  <si>
    <t xml:space="preserve">Backward-compatible Software Upgrades for ADS-B and AIS To Support ECDSA-Secured Protocols</t>
  </si>
  <si>
    <t xml:space="preserve">European Conference on Information Warfare and Security, ECCWS</t>
  </si>
  <si>
    <t xml:space="preserve">During the past few decades, the aviation, maritime, aerospace, and search-and-rescue domains have witnessed tremendous improvement thanks to technological, digitalization and Internet of Things (IoT) advances such as Automatic Dependent Surveillance–Broadcast (ADS-B) (e.g., Aviation IoT, Airports IoT) and Automatic Identification System (AIS) (e.g., Maritime IoT). All these are high-profile examples of new digital communication protocols combined with IoT devices that make efficient use of wide-area earth and space radio communications to provide real-time, truly globally interoperable, and optimised services required by these domains. However, the protocols and technologies mentioned above, both from an architectural and implementation point of view, exhibit fundamental cybersecurity weaknesses (both at protocol and IoT device level). These weaknesses make them an easy target for potential attackers. The two fundamental flaws of these protocols are the lack of digital signatures (i.e., integrity and authenticity) and the lack of encryption (i.e., confidentiality and privacy). The risks associated with these, and other weaknesses have been over the last decade repeatedly demonstrated with ease by ethical cybersecurity researchers. In this paper, we design, propose, and discuss a single generic PKI-enabled message integrity and authenticity scheme that works seamlessly for any of the ADS-B, and AIS, with the possibility of easy extension and integration into other protocols (e.g., ACARS). Our scheme can be added as backward-compatible software upgrades (e.g., third-party library) to existing systems without requiring expensive architectural redesign, upgrades, and retrofitting. Our present work is aimed to serve as a bootstrap to securing such insecure protocols without completely replacing or redesigning the systems. It also aims to provide a discussion background of advantages and limitations of such backward-compatible securing methods. © 2024 Curran Associates Inc.. All rights reserved.</t>
  </si>
  <si>
    <t xml:space="preserve">R0454</t>
  </si>
  <si>
    <t xml:space="preserve">Luoto A.; Hakkarainen M.</t>
  </si>
  <si>
    <t xml:space="preserve">Cyber Resiliency of Aircraft Systems: A Literature Review</t>
  </si>
  <si>
    <t xml:space="preserve">10.34190/eccws.23.1.2359</t>
  </si>
  <si>
    <t xml:space="preserve">Aircraft have an important role in the overall defense of almost every country. However, military aircraft are not only susceptible to traditional kinetic weapons but also to constantly developing cyber weaponry. There has been global growth in the number of cyber threats in recent years, and the field of military aviation is not outside the growing threat. The war in Ukraine and recent military aircraft procurements in Europe make the topic very timely. A highly skilled and resourced adversary is able to conduct complex long-term attacks that penetrate even well-protected systems, such as military aircraft systems. Even air-gap does not protect aircraft from cyber threats as modern aircraft have complex and networked avionics and support systems. The study aims to find the current trends of cyber security research related to aircraft systems. The included topics are, for example, cyber resiliency and cyber protection in the system life cycle. The study concentrates particularly on forming an overall view of the most vulnerable military aircraft systems. The study presents a non-systematic literature review based on public data sources, such as research reports, articles, etc. A set of nine relevant sources was chosen for detailed qualitative analysis. Because of the lack of detailed military sources, applicable study materials related to commercial passenger aircraft were included. The results suggest that the most vulnerable aircraft systems from the viewpoint of cyber security are those that are exposed to threats via communication and satellite systems. Other vulnerable systems are sensors and avionics systems that transfer, or process critical data related to the functions of the aircraft. In addition, the study found that it is difficult to protect aircraft systems from cyber threats because of their complexity, maintenance operations, and supply chains, which also increase the size of the attack vector. To tackle the issue, it is important to follow the development of regulations and policies related to cyber security in aviation and to study the methods of managing the threat in a holistic and cost-effective manner. © 2024 Curran Associates Inc.. All rights reserved.</t>
  </si>
  <si>
    <t xml:space="preserve">R0036</t>
  </si>
  <si>
    <t xml:space="preserve">Huang Y.; Li R.; Wu Z.; Yue M.</t>
  </si>
  <si>
    <t xml:space="preserve">Data Source Authentication Protocol for Aviation Broadband Communication System</t>
  </si>
  <si>
    <t xml:space="preserve">20th International Wireless Communications and Mobile Computing Conference, IWCMC 2024</t>
  </si>
  <si>
    <t xml:space="preserve">10.1109/IWCMC61514.2024.10592349</t>
  </si>
  <si>
    <t xml:space="preserve">The Aviation Broadband Communication System (ABCS) plays a crucial role in the modern civil aviation field. However, when controlling the broadcast information of Broadcast Control Channel (BC), the system faces network security issues such as man in the middle attacks and pseudo base station attacks, which have become increasingly serious. Therefore, when designing and developing aviation broadband communication systems, it is necessary to fully consider the guarantee mechanism for ensuring secure data transmission. This article focuses on the BC control channel and successfully implements source authentication for broadcast control data using the Timed Efficient Stream Loss Tolerant Algorithm Protocol (TESLA) combined with the SM3 algorithm. The proposed method effectively solves the security issues faced by broadcast data. By analyzing the security overhead brought by the added security mechanisms, we have proven that this method is superior to packet-by-packet signature authentication protection and hash chain authentication schemes, thus meeting the requirements of aviation digital communication application scenarios.  © 2024 IEEE.</t>
  </si>
  <si>
    <t xml:space="preserve">R0334</t>
  </si>
  <si>
    <t xml:space="preserve">Khoei T.T.; Ould Slimane H.; Shamaileh K.A.; Kumar Devabhaktuni V.; Kaabouch N.</t>
  </si>
  <si>
    <t xml:space="preserve">Detecting Injection Attacks in ADS-B Devices Using RNN-Based Models</t>
  </si>
  <si>
    <t xml:space="preserve">10.1109/ICNS60906.2024.10550816</t>
  </si>
  <si>
    <t xml:space="preserve">The Automatic Dependent Surveillance Broadcast (ADS-B) system is a critical communication and surveillance technology used in the Next Generation (NextGen) project as it improves the accuracy and efficiency of air navigation. These systems allow air traffic controllers to have more precise and real-time information on the location and movement of aircraft, leading to increased safety and improved efficiency in the airspace. While ADS-B has been made mandatory for all aircraft in the Federal Aviation Administration (FAA) monitored airspace, its lack of security measures leaves it vulnerable to cybersecurity threats. Particularly, ADS-B signals are susceptible to false data injection attacks due to the lack of authentication and integrity measures, which poses a serious threat to the safety of the National Airspace System (NAS). Many studies have attempted to address these vulnerabilities; however, machine learning and deep learning approaches have gained significant interest due to their ability to enhance security without modifying the existing infrastructure. This paper investigates the use of Recurrent Neural Networks for detecting injection attacks in ADS-B data, leveraging the time-dependent nature of the data. The paper reviews previous studies that used different machine learning and deep learning techniques and presents the potential benefits of using RNN algorithms to improve ADS-B security.  © 2024 IEEE.</t>
  </si>
  <si>
    <t xml:space="preserve">R0207</t>
  </si>
  <si>
    <t xml:space="preserve">Soucy D.; Lachine B.</t>
  </si>
  <si>
    <t xml:space="preserve">Feature Engineering for a MIL-STD-1553B LSTM Autoencoder Anomaly Detector</t>
  </si>
  <si>
    <t xml:space="preserve">The MIL-STD-1553B data bus protocol is used in both civilian and military aircraft to enable communications between subsystems. These interconnected subsystems are responsible for core services such as communications, flow of instrument data and aircraft control. With aircraft modernization, threat vectors are introduced through increased inter-connectivity internal and external to the aircraft. The resulting potential for exploitation introduces a requirement for an intrusion detection capability in order to maintain the integrity, availability and reliability of data transmitted using the MIL-STD-1553B protocol, safety of the aircraft and overall, to achieve mission assurance. Research in recent years has investigated signature, statistical and machine learning based solutions to detect attacks on MIL-STD-1553B buses. Of the different techniques, those based on machine learning have shown extremely good results. The aim of this research is to improve the performance of an existing Long Short-Term Memory Auto-Encoder by refining the feature engineering phase of its pipeline. The improvement in the detector’s overall effectiveness was accomplished through feature engineering focused on feature generation and selection. Five different attack datasets were used as the starting point, consisting of four different denial of service attacks and one data integrity attack. From initial feature extraction of 155 features, two feature generation techniques were employed to create over 38,000 features as a starting point. Using five different MIL-STD-1553B datasets and three feature selection techniques, fifteen different Long Short-Term Memory Auto-Encoder models were created, trained and evaluated using common performance metrics and compared to those of the original anomaly detector. This research demonstrated marked performance improvement achieved by the feature engineering refinements made in comparison to those of the original model. Equally important, this research also showed a significant reduction in the number of features required to achieve this performance gain. In the context of miliary air operations, the ability to improve detection capabilities with less data is important to the technical solutions that contribute to the achievement of cyber mission assurance. © 2024 Curran Associates Inc.. All rights reserved.</t>
  </si>
  <si>
    <t xml:space="preserve">R0346</t>
  </si>
  <si>
    <t xml:space="preserve">Khan S.; Gaba G.S.; Gurtov A.; Jansen L.J.A.; Maurer N.; Schmitt C.</t>
  </si>
  <si>
    <t xml:space="preserve">Post-Quantum Secure Handover Mechanism for Next-Generation Aviation Communication Networks</t>
  </si>
  <si>
    <t xml:space="preserve">IEEE Transactions on Green Communications and Networking</t>
  </si>
  <si>
    <t xml:space="preserve">10.1109/TGCN.2024.3417298</t>
  </si>
  <si>
    <t xml:space="preserve">LDACS; CPDLC / ACARS / VDL2 / ATN</t>
  </si>
  <si>
    <t xml:space="preserve">The L-band Digital Aeronautical Communications System (LDACS) is a key advancement for next-generation aviation networks, enhancing Communication, Navigation, and Surveillance (CNS) capabilities. It operates with VHF Datalink mode 2 (VDLm2) and features a seamless handover mechanism to maintain uninterrupted communication between aircraft and ground stations (GSs), improving safety and efficiency in air traffic management (ATM). However, LDACS' handover process encounters significant security risks due to inadequate authentication and key agreement between aircraft and ground station controllers (GSCs) during handovers. This vulnerability threatens communications' confidentiality, integrity, and authenticity, posing risks to flight safety and sensitive data. Therefore, developing and implementing a robust security framework to protect aviation communications is essential. In response, we have proposed a security solution specifically designed to protect LDACS handovers. Our solution uses a mutual authentication and key agreement mechanism tailored for LDACS handovers, ensuring robust security for all types of handovers, including Intra GSC - Intra Aeronautical Telecommunication Network (ATN), Inter GSC - Intra ATN, and Inter GSC - Inter ATN. Our approach utilizes post-quantum cryptography to protect aviation communication systems against potential post-quantum threats, such as unauthorized access to flight data, interception of communication, and spoofing of aircraft identity. Furthermore, our proposed solution has undergone a thorough informal security analysis to ensure its effectiveness in addressing handover challenges and offering robust protection against various threats. It seamlessly integrates with the LDACS framework, delivering low Bit Error Rate (BER) and latency levels, making it a highly reliable approach in practice. © 2017 IEEE.</t>
  </si>
  <si>
    <t xml:space="preserve">R0105</t>
  </si>
  <si>
    <t xml:space="preserve">Harsha Vardhan S.; Jha M.K.; Hegde R.; Singh M.; Rubini P.; Choudhary A.</t>
  </si>
  <si>
    <t xml:space="preserve">Security and Threats in Aviation: Cryptographic Based Network Security System</t>
  </si>
  <si>
    <t xml:space="preserve">IEEE International Conference on Signal Processing and Advance Research in Computing, SPARC 2024</t>
  </si>
  <si>
    <t xml:space="preserve">10.1109/SPARC61891.2024.10828771</t>
  </si>
  <si>
    <t xml:space="preserve">In present era, aviation communication technologies provides safe, effective, and efficient transfer of data between aircraft and facilities on the ground. Cryptography is essential to maintain the confidentiality, integrity, and legitimacy of data transfer in aviation systems. The safe key exchange and authentication that are essential components of aviation communication security are expertly ensured algorithms. Advanced Encryption Standard (AES), Rivest- Shamir- Adleman (RSA), Blowfish, Fernet, and Elliptic curve cryptog- raphy (ECC) are a few of the symmetric and asymmetric encryption method explored for aviation system. In this paper, the development and application of AES and Fernet encryption algorithms, specifically designed for safe client- server communication for the aviation industry sector, are the mainly implemented and performance analyzed. The public key is used for encryption, while the private key is used for decryption. The effectiveness of these algorithms in safeguarding data transfer between a client and server within an airline network is put to the test with great rigor. © 2024 IEEE.</t>
  </si>
  <si>
    <t xml:space="preserve">R0130</t>
  </si>
  <si>
    <t xml:space="preserve">Prathima Ch.; Madhuri Ch.B.; Hasitha N.C.; Teja N.K.S.; Greeshma M.; Vani M.S.</t>
  </si>
  <si>
    <t xml:space="preserve">Strengthening Airline Communication Network Security: A Zero-Trust Model with Blockchain-Based Identity Storage and Advanced Algorithms</t>
  </si>
  <si>
    <t xml:space="preserve">Proceedings of 9th International Conference on Science, Technology, Engineering and Mathematics: The Role of Emerging Technologies in Digital Transformation, ICONSTEM 2024</t>
  </si>
  <si>
    <t xml:space="preserve">10.1109/ICONSTEM60960.2024.10568851</t>
  </si>
  <si>
    <t xml:space="preserve">It proposes a zero-trust paradigm, sophisticated algorithms, and blockchain-based identity storage as a revolutionary means of improving aircraft communication network security. The aviation industry's fast expansion and growing reliance on digital technologies for mission-critical operations necessitate a strong and secure network infrastructure. New cybersecurity threats, however, have exposed the weaknesses in the current security systems. In order to resolve this problem, we suggest a zero-trust model that, regardless of the user's device or location, verifies each access request, so doing away with the idea of implicit trust in the network. To guarantee the secrecy and integrity of communication channels, this design integrates user identity, authorization, and encryption techniques. We also employ blockchain technology to securely preserve and retain user identities by doing away with the requirement for centralized identity servers and lowering the risk of fraud or identity theft. We fortify our system's defenses against complex attacks by employing state-of-the-art technologies, such as machine learning and anomaly detection, to continually monitor network traffic and identify anomalous or suspicious activities in real-time. Our suggested solution is to create a solid and secure foundation for airline communication networks in order to protect sensitive data and guarantee the continuous provision of airline services. Our study's primary focus is on the value of network security to the aviation industry.  © 2024 IEEE.</t>
  </si>
  <si>
    <t xml:space="preserve">R0930</t>
  </si>
  <si>
    <t xml:space="preserve">Tahir S.; Shahbaz M.A.; Tahir H.; Awais M.; Khan F.; Tahir R.; Saeed S.; Almuhaideb A.M.</t>
  </si>
  <si>
    <t xml:space="preserve">A Novel Approach to Reduce Breaches of Aircraft Communication Data</t>
  </si>
  <si>
    <t xml:space="preserve">10.3390/electronics12010172</t>
  </si>
  <si>
    <t xml:space="preserve">Voice (VHF R/T)</t>
  </si>
  <si>
    <t xml:space="preserve">Aircraft are complex systems that rely heavily on monitoring and real-time communications with the base station. During aviation and flight operations, diverse data are gathered from different sources, including the Cockpit Voice Recorder (CVR), Flight Data Recorder (FDR), logbook, passenger data, passenger manifest etc. Given the high sensitivity of flight data, it is an attractive target for adversaries which could result in operational, financial and safety related incidents. Communications between aircraft pilots and air traffic controllers are all unencrypted. The data, mainly audio communication files, are placed openly within data centers on the ground stations which could lead to a serious compromise in security and privacy. One may rely on the cloud owing to its on-demand features but to thwart possible attacks, the data need to be encrypted first, giving rise to the issue of conducting search over encrypted data. This research presents a novel approach for data security in aviation industry by introducing a semantic-based searchable encryption scheme over the cloud. The designed system has proven to be extraordinarily effective for semantic-based searchable encryption at the word and the text level. The rigorous security and complexity analysis shows that the proposed solution provides a high level of security and efficiency and can be effectively deployed in the aviation sector. The designed scheme is tested through a real-world aviation dataset collected to demonstrate the significance of this research. The proof of concept proves to be secure, privacy-preserving and lightweight while resisting distinguishability attacks. © 2022 by the authors.</t>
  </si>
  <si>
    <t xml:space="preserve">R0347</t>
  </si>
  <si>
    <t xml:space="preserve">Khan S.; Gaba G.S.; Braeken A.; Kumar P.; Gurtov A.</t>
  </si>
  <si>
    <t xml:space="preserve">AKAASH: A realizable authentication, key agreement, and secure handover approach for controller-pilot data link communications</t>
  </si>
  <si>
    <t xml:space="preserve">International Journal of Critical Infrastructure Protection</t>
  </si>
  <si>
    <t xml:space="preserve">10.1016/j.ijcip.2023.100619</t>
  </si>
  <si>
    <t xml:space="preserve">Controller-Pilot Data Link Communications (CPDLC) are rapidly replacing voice-based Air Traffic Control (ATC) communications worldwide. Being digital, CPDLC is highly resilient and bandwidth efficient, which makes it the best choice for traffic-congested airports. Although CPDLC initially seems to be a perfect solution for modern-day ATC operations, it suffers from serious security issues. For instance, eavesdropping, spoofing, man-in-the-middle, message replay, impersonation attacks, etc. Cyber attacks on the aviation communication network could be hazardous, leading to fatal aircraft incidents and causing damage to individuals, service providers, and the aviation industry. Therefore, we propose a new security model called AKAASH, enabling several paramount security services, such as efficient and robust mutual authentication, key establishment, and a secure handover approach for the CPDLC-enabled aviation communication network. We implement the approach on hardware to examine the practicality of the proposed approach and verify its computational and communication efficiency and efficacy. We investigate the robustness of AKAASH through formal (proverif) and informal security analysis. The analysis reveals that the AKAASH adheres to the CPDLC standards and can easily integrate into the CPDLC framework. © 2023 The Author(s)</t>
  </si>
  <si>
    <t xml:space="preserve">R0809</t>
  </si>
  <si>
    <t xml:space="preserve">Atkins G.; Sampigethaya K.</t>
  </si>
  <si>
    <t xml:space="preserve">Air Traffic Control System Cyber Security Using Humans and Machine Learning</t>
  </si>
  <si>
    <t xml:space="preserve">10.1109/ICNS58246.2023.10124305</t>
  </si>
  <si>
    <t xml:space="preserve">Aviation performance depends on education and training of pilots and air traffic controllers (ATCOs) on technical, procedural, crisis management, decision making, leadership and communication skills. Recent incidents and studies, however, show crew members may be caught unaware and errors in human judgement can still occur in air traffic control (ATC) systems even more so in the presence of cyberattacks. This paper focuses on raising situation awareness and decision making of ATCOs with cyberattacks impacting operations in next-generation ATC systems. Our goal is to investigate crew-based cyber security as a layer in making ATC systems resilient to cyber and cyber-physical attacks. Automatic Dependent Surveillance Broadcast (ADS-B) technology is used as the basis of our preliminary investigation due to its widely known security concerns and central role in ATC systems. We present experimental study considerations for assessing cyber readiness and improving training of ATCOs. We propose a Kalman filter based cyber alarm solution approach for a machine learning based aid for ATCOs towards early cyberattack detection and incident response in ATC systems. © 2023 IEEE.</t>
  </si>
  <si>
    <t xml:space="preserve">R0509</t>
  </si>
  <si>
    <t xml:space="preserve">Yang H.; Li H.; Shen X.S.</t>
  </si>
  <si>
    <t xml:space="preserve">Complete ADS-B Security Solution</t>
  </si>
  <si>
    <t xml:space="preserve">Wireless Networks (United Kingdom)</t>
  </si>
  <si>
    <t xml:space="preserve">10.1007/978-3-031-07021-1_5</t>
  </si>
  <si>
    <t xml:space="preserve">We propose a complete cryptographic solution for ADS-B security in this chapter, ensuring privacy and integrity without modifying existing ADS-B protocols or upgrading current ADS-B transponders, thereby being well-suited to large-scale and low-cost deployments. The main idea of our solution is to separate the aircraft identifier from its associated geographic locations to guarantee the privacy of general aviation, maximize the use of reserved fields in the ADS-B message format to protect the integrity of messages, and reduce package loss and disorder for increasingly congested 1090ES data links. © 2023, The Author(s), under exclusive license to Springer Nature Switzerland AG.</t>
  </si>
  <si>
    <t xml:space="preserve">R0798</t>
  </si>
  <si>
    <t xml:space="preserve">Xie Y.; Gardi A.; Sabatini R.</t>
  </si>
  <si>
    <t xml:space="preserve">Cybersecurity Risks and Threats in Avionics and Autonomous Systems</t>
  </si>
  <si>
    <t xml:space="preserve">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</si>
  <si>
    <t xml:space="preserve">10.1109/DASC/PiCom/CBDCom/Cy59711.2023.10361328</t>
  </si>
  <si>
    <t xml:space="preserve">Ongoing advances in digitization and automation of critical infrastructures, particularly in terms of aeronautical Communication, Navigation, and Surveillance (CNS) technologies, has led to the fusion of intricate physical and information networks with artificial intelligence (AI) systems. This integration is empowered avionics and Air Traffic Management (ATM) systems with enhanced data processing capabilities, interactive information exchange, and expansive geographic distribution. However, these advancements also expose the systems to increasing cybersecurity threats, physical vulnerabilities, and data integrity risks. The complexity and interconnectedness of CNS infrastructure, combined with ATM systems, amplify the potential scope and depth of attacks and increase their ability to spread through interconnected components. As a result, both ATM and UAS Traffic Management (UTM) systems face an escalation in security challenges. While the concept of cybersecurity within aviation has a long history, its seamless integration into aviation systems remains a significant challenge. Just as AI technology is harnessed to improve the overall operational efficiency and reliability of aviation systems, it has also emerged as a pivotal battleground for cybersecurity risks and threats. Increasingly, AI-driven intrusion and theft methods are replacing traditional approaches. In response, researchers have put forth defensive strategies rooted in AI technology. This paper critically evaluates cybersecurity vulnerabilities and threats that may confront ATM and UTM systems. It systematically categorizes a variety of potential threat actors along with their corresponding targets, based on their objectives, motivations, and capabilities. Simultaneously, the paper delves deeply into an exploration of possible attack methodologies founded on AI technology, accompanied by their corresponding defensive tactics.  © 2023 IEEE.</t>
  </si>
  <si>
    <t xml:space="preserve">R0748</t>
  </si>
  <si>
    <t xml:space="preserve">Mäurer N.; Gräupl T.; Schmitt C.</t>
  </si>
  <si>
    <t xml:space="preserve">Efficient Control-Channel Security for the Aeronautical Communications System LDACS</t>
  </si>
  <si>
    <t xml:space="preserve">Proceedings - 2023 IEEE 24th International Symposium on a World of Wireless, Mobile and Multimedia Networks, WoWMoM 2023</t>
  </si>
  <si>
    <t xml:space="preserve">10.1109/WoWMoM57956.2023.00072</t>
  </si>
  <si>
    <t xml:space="preserve">Since Air Traffic Management (ATM) is still conducted largely via analogue voice communications, the digitization of data transmission is crucial to automate and secure ATM in civil aviation. For that purpose, several new digital data links are developed. The continental, terrestrial long-range candidate is the L-band Digital Aeronautical Communications System (LDACS), which is a cellular, ground-based digital communications system for flight guidance and communications related to the safety and regularity of flight. The security of LDACS has been the focus of recent works, however, the problem to secure data on its small control-channels remains unsolved. The objective of this work is to propose slim and efficient security measures to protect data on the LDACS control-channels and evaluate their security and performance impact. First, via a 3-pass instancing of the ISO/IEC11770-3:2021 'Key agreement mechanism 7' protocol, keys to secure LDACS control-channels are established between air and ground radios. Second, via these point-to-point keys and point-to-multipoint group keys, the control-channels are secured. Thereby the limitations set by the limited bandwidth are respected and cryptographic overhead optimized. Finally, the security of our proposal is validated using a symbolic model with the Tamarin proof system. Also, via computer simulations, the LDACS performance impact of the control-channel security solutions is evaluated.  © 2023 IEEE.</t>
  </si>
  <si>
    <t xml:space="preserve">R0711</t>
  </si>
  <si>
    <t xml:space="preserve">Lu X.; Dong R.; Wang Q.; Zhang L.</t>
  </si>
  <si>
    <t xml:space="preserve">Information Security Architecture Design for Cyber-Physical Integration System of Air Traffic Management</t>
  </si>
  <si>
    <t xml:space="preserve">10.3390/electronics12071665</t>
  </si>
  <si>
    <t xml:space="preserve">With the continuous expansion of air traffic flow, the increasingly serious aviation network security threats have a significant and far-reaching impact on the safe operation of the aviation industry. The networked air traffic management (ATM) system is an integrated space–air–ground network integrating communication, network, satellite, and data chain technology, which adopts a network-centric structure to provide network-enabled services and applications for the air transportation system. In view of the serious network threats faced by networked ATM, this paper studies the basic theories and key technologies of ATM information security assurance and designs a credible security architecture to provide comprehensive and systematic security assurance for networked ATM. Starting from the problems and development trend of ATM security assurance, this paper investigates the dynamic and complex data processing process of ATM system, analyzes the complex interaction between its cyber and physical system, and then constructs the networked ATM cyber–physical fusion system model and threat model. Furthermore, the causal relationship between ATM security threat alert information is mapped into a Bayesian network, and the game model of networked ATM is proposed using Bayesian Nash equilibrium strategy. At last, the information security assurance architecture of networked ATM system based on blockchain technology is formed by establishing a distributed co-trust mechanism and multi-chain storage structure. We expect this paper to bring some inspiration to the related research in academia and aviation so as to provide useful reference for the construction of ATM safety and security system and the development of technology. © 2023 by the authors.</t>
  </si>
  <si>
    <t xml:space="preserve">R0581</t>
  </si>
  <si>
    <t xml:space="preserve">Tian G.; Shang T.; Zhang Q.; Cai K.; Zhao L.</t>
  </si>
  <si>
    <t xml:space="preserve">Lightweight Group Pre-Handover Authentication Scheme for Aviation 5G Air-To-Ground Networks</t>
  </si>
  <si>
    <t xml:space="preserve">International Conference on Wireless and Mobile Computing, Networking and Communications</t>
  </si>
  <si>
    <t xml:space="preserve">10.1109/WiMob58348.2023.10187770</t>
  </si>
  <si>
    <t xml:space="preserve">With the emergence of fifth-generation (5G) technology, the air-to-ground (ATG) communication system based on 5G public mobile communication technology makes it possible to provide data services for in-flight communication. Customer premises equipment (CPE) is connected to ATG base stations to provide network access for user devices in-cabin. However, the handover authentication performed by CPEs during a handover between ATG base stations poses security risks and incurs a lot of overhead. Furthermore, frequent handovers between base stations and the limited computational resources of the CPE make the protection of security properties even more challenging. In this paper, we propose a lightweight group pre-handover authentication scheme for aviation 5G ATG networks. By leveraging the predictability of flight paths, all CPEs on the same aircraft can complete handover authentication before arriving at the next base station, and handover authentication delay can be ignored, providing seamless communication services for user devices in the cabin. The scheme utilizes the extended Chebyshev chaotic map and symmetric encryption technology to reduce computational overhead and adapt to the limited computing resources of CPE. Security and performance analysis show that our scheme achieves lightweight and efficiency while ensuring security performance and outperforms other relevant schemes.  © 2023 IEEE.</t>
  </si>
  <si>
    <t xml:space="preserve">R0794</t>
  </si>
  <si>
    <t xml:space="preserve">Modern Cryptography for ADS-B Systems</t>
  </si>
  <si>
    <t xml:space="preserve">10.1007/978-3-031-07021-1_2</t>
  </si>
  <si>
    <t xml:space="preserve">Modern cryptography has been proven to be a mature technology to protect the security of wireless communication, so it should be workable to secure ADS-B wireless broadcasts. Specifically, by evaluating the practicability and effectiveness of cryptographic methods in the aviation industry, where technology is complex and cost-saving, it can be concluded that cryptography can indeed safeguard the ADS-B system. In this chapter, we first briefly introduce modern cryptography and then discuss some cryptographic primitives that are proper for securing ADS-B. © 2023, The Author(s), under exclusive license to Springer Nature Switzerland AG.</t>
  </si>
  <si>
    <t xml:space="preserve">R0273</t>
  </si>
  <si>
    <t xml:space="preserve">Qian L.; Xu H.; Wang L.; Wang D.; Liu X.; Shi B.</t>
  </si>
  <si>
    <t xml:space="preserve">Physical Layer Security for L-Band Digital Aeronautical Communication System with Interference Mitigation</t>
  </si>
  <si>
    <t xml:space="preserve">10.3390/electronics12224591</t>
  </si>
  <si>
    <t xml:space="preserve">As one of the main candidates for future civil aviation communications systems, the L-band digital aeronautical communication system (L-DACS) is expected to achieve secure and reliable transmission. Due to the broadcasting nature of air–ground wireless links, the L-DACS has the risk of being intercepted by malicious eavesdroppers, which negatively affects aviation communication security. In addition, because the spectrum of the L-DACS overlaps with the aviation distance measuring equipment (DME), the pulse interference caused by the DME signal may lead to the wireless link being more fragile and susceptible to wiretapping. In this paper, with a focus on enhancing wireless transmission security, we propose a comprehensive physical layer security (PLS) method for the L-DACS. The key to the proposed PLS method is restraining the transmission of the eavesdropper by injecting artificial noise into the transmitted signal while improving the transmission of the legitimate receiver through the adoption of pulse interference mitigation. First, to characterize the L-DACS in the secure scene, we derive the signal-to-interference-plus-noise ratio (SINR) of the legitimate receiver and any potential eavesdropper by constructing equivalent noise. Next, from the perspective of the information theory, we derive the closed form of the secrecy capacity of the L-DACS by employing the proposed PLS methods with three kinds of nonlinear interference mitigation: including ideal pulse blanking, peak threshold-based pulse blanking, and peak threshold-based pulse clipping. Finally, we compare and analyze different ways to enhance the secrecy capacity of the proposed PLS method using various interference mitigation methods. © 2023 by the authors.</t>
  </si>
  <si>
    <t xml:space="preserve">R0920</t>
  </si>
  <si>
    <t xml:space="preserve">Sakai T.; Kitamura M.; Kezuka A.</t>
  </si>
  <si>
    <t xml:space="preserve">Prototyping Message Authentication on L1 SBAS</t>
  </si>
  <si>
    <t xml:space="preserve">Proceedings of the 36th International Technical Meeting of the Satellite Division of the Institute of Navigation, ION GNSS+ 2023</t>
  </si>
  <si>
    <t xml:space="preserve">10.33012/2023.19478</t>
  </si>
  <si>
    <t xml:space="preserve">The SBAS (satellite-based augmentation system) is the international standard system for global satellite-based navigation. The SBAS augments GNSS to support the most safety-critical application, i.e., aviation, through providing very high level of integrity. Today the SBAS is widely used as a seamless navigation measure covering enroute and terminal navigation to precision approach guidance. Japan has been operating the SBAS called MSAS (Michibiki Satellite Augmentation System) since 2007. Recently the ICAO NSP (Navigation Systems Panel) has been investigating authentication scheme for SBAS as a security measure. Originally it was discussed to implement by L5 SBAS Q-channel, however, the latest discussion is based on L1 and L5 SBAS I-channel. This means the authentication messages can be transmitted by the current L1 SBAS as well as future L5 SBAS. The key technique to enable SBAS authentication is the digital signature. A receiver can verify that the signal is transmitted by the trusted source with the digital signature of the SBAS message. Due to the limitation of available bandwidth, TESLA (Timed Efficient Stream Loss-tolerant Authentication) protocol and ECDSA (Elliptic Curve Digital Signature Algorithm) are used like Galileo OS-NMA (Open Service - Navigation Message Authentication). A new Message Type 20 will be defined to bring MAC (Message Authentication Code) of five preceding messages and keychain of TESLA hash function every six seconds. Message Type 21 will provide ECDSA public keys signed by the SBAS provider. Key information is managed with layered architecture to ensure required level of tolerance. The authors have developed a prototype of SBAS authentication message generator named MIVEX-AUTH (MSAS V4 Experiment - Authentication). The prototype generates authentication messages, Message Type 20 and Message Type 21, based on the first draft of the standards being discussed at the ICAO NSP. A purpose to develop the prototype is promotion of the interoperability among SBAS providers to prevent misinterpretation and/or erroneous parameters of the standards between service providers and between receiver manufacturers. Exchange of actual message generated by the prototype will reveal missing descriptions in the standards. Another purpose of the prototype is investigation of adaptability of the authentication messages to the current L1 SBAS, especially MSAS in our case. Message Type 20 and Message Type 21 require 30% of bandwidth based on the draft standards. It is necessary to modify the message sequence of the current L1 SBAS because it does not have enough space for authentication messages. Among candidate methods to reduce the number of messages for the current system without authentication, usage of Message Type 6 is the most effective through reduction of fast corrections. The prototype replaces some Message Types 2 to 5 by Message Type 6 and creates space for Message Types 20 and 21. The prototyping is completed and end-to-end test with receiver side software has been conducted. The test results confirms that the prototype is fully functional based on the draft standards as designed and works well to generate authentication messages for L1 SBAS. © 2023 Proceedings of the 36th International Technical Meeting of the Satellite Division of the Institute of Navigation, ION GNSS+ 2023. All rights reserved.</t>
  </si>
  <si>
    <t xml:space="preserve">R0953</t>
  </si>
  <si>
    <t xml:space="preserve">Zaher A.; Rabaa J.; Kumar L.R.; Rajesh Pandian N.</t>
  </si>
  <si>
    <t xml:space="preserve">Quantum Key Distribution for ADS-B Data Transmission Security in Aircraft</t>
  </si>
  <si>
    <t xml:space="preserve">2023 14th International Conference on Computing Communication and Networking Technologies, ICCCNT 2023</t>
  </si>
  <si>
    <t xml:space="preserve">10.1109/ICCCNT56998.2023.10307790</t>
  </si>
  <si>
    <t xml:space="preserve">This research aims to investigate the security concerns of Automatic Dependent Surveillance-Broadcast (ADS-B) communication in the aviation industry and propose the Quantum Key Distribution (BB84) algorithm to generate a symmetric key using the principles of quantum mechanics and use it as a secret key for all encryption/decryption algorithms used in the ADS-B system to increase the security level and avoid any security concerns. ADS-B is a critical technology for air traffic control, providing real-time position and velocity information to air traffic controllers. However, the security of ADS-B communication is a major concern, as it is vulnerable to various security threats, including eavesdropping, data manipulation and injection attacks that could lead to accidents and loss of life. To ensure safe and efficient air travel, A reliable and secure communication system for ADS-B is essential. In this study, we will provide a comprehensive literature review of ADS-B communication and existing encryption methods. We will evaluate the performance of the proposed BB84-Quantum algorithm through simulations and assess its effectiveness in securing ADS-B communication. Our research aims to provide insight into the potential application of the proposed algorithm in the aviation industry. The proposed algorithm's originality lies in its use of quantum mechanics principles to provide secure communication between aircraft and ground stations, ensuring a safe connection for sending and receiving messages in ADS-B packets. © 2023 IEEE.</t>
  </si>
  <si>
    <t xml:space="preserve">R0951</t>
  </si>
  <si>
    <t xml:space="preserve">Ewert T.; Mäurer N.</t>
  </si>
  <si>
    <t xml:space="preserve">Safety and Security Considerations on the Airbus Wake Energy Retrieval Program "fello'fly"</t>
  </si>
  <si>
    <t xml:space="preserve">10.1109/ICNS58246.2023.10124302</t>
  </si>
  <si>
    <t xml:space="preserve">Faced with climate change and global warming, the reduction of greenhouse gas emissions, such as carbon dioxide, is a modern day focus of politics, industry and society. The aviation industry, responsible for about 3.5% of worldwide greenhouse gas emissions, is currently heavily depending on fossil fuels. As such, efforts are made to move towards a sustainable green aviation and carbon neutrality. Projects undertaken by authorities, airlines or manufacturers vary from new technologies like electric propulsion or Sustainable Aviation Fuel (SAF), to adjustments of operating procedures such as the retrieval of wake energy. [22] One already tested Wake Energy Retrieval (WER) technology is Airbus' fello'fly project.Hereby, different aircraft are positioned closely together on intercontinental flights, such that the succeeding aircraft can benefit from upward air movement within the wake created by the preceding one. Flight trials conducted in 2021 have shown a significant opportunity to reduce fuel consumption and therefore the carbon dioxide emissions and costs on long-range flights. However, to benefit from wake energy requires a reduction in currently established safety distances between aircraft. As introduction into service is envisioned as early as 2025, the fello'fly system will be based on already existing technologies.This paper focuses on possible safety and security implications created by this combination of reduced safety distances and reliance on legacy communication, navigation and surveillance technologies. First, regulations governing aircraft separation will be introduced, followed by an introduction to the concept of fello'fly. Furthermore, the paper offers an overview of the employed technologies and underscores their known cybersecurity vulnerabilities. The implications of using these systems alongside reduced separation in an evolving threat landscape are examined. The paper concludes by proposing necessary enhancements for a secure implementation of wake energy retrieval. © 2023 IEEE.</t>
  </si>
  <si>
    <t xml:space="preserve">R0846</t>
  </si>
  <si>
    <t xml:space="preserve">Li X.; Zhang Q.; Xu L.; Shang T.</t>
  </si>
  <si>
    <t xml:space="preserve">A Compatible and Identity Privacy-preserving Security Protocol for ACARS</t>
  </si>
  <si>
    <t xml:space="preserve">Proceedings - 2022 IEEE 21st International Conference on Trust, Security and Privacy in Computing and Communications, TrustCom 2022</t>
  </si>
  <si>
    <t xml:space="preserve">10.1109/TrustCom56396.2022.00143</t>
  </si>
  <si>
    <t xml:space="preserve">ADS-B / SSR / Mode S / MLAT; CPDLC / ACARS / VDL2 / ATN</t>
  </si>
  <si>
    <t xml:space="preserve">Aircraft Communications Addressing and Reporting System (ACARS) has been widely used in aviation datalink. However, for lack of security designs, ACARS faces increasing security threats such as eavesdropping and message injection. Although several security solutions has been proposed on aviation surveillance message, such as Automatic Dependent Surveillance-Broadcast, those on ACARS have received far less attention. To further improve the session security and privacy of civil aviation users, we put forwards a compatible protocol for ACARS datalink to protect message security as well as aircraft identity privacy. The proposed solution provides communication confidentiality, and supports data integrity and user identity verification. Meanwhile, by replacing the aircraft's identity transmitted in plaintext with a variable anonymity, the privacy of an aircraft is protected from the disclosure of aircraft identity. Moreover, our protocol is compatible with current ACARS standards, making the proposed solution easy-to-deploy and practical. Formal analysis and simulations are carried out to make sure the security of proposed protocol. © 2022 IEEE.</t>
  </si>
  <si>
    <t xml:space="preserve">R0708</t>
  </si>
  <si>
    <t xml:space="preserve">Maurer N.; Graupl T.; Schmitt C.; Rodosek G.D.; Reiser H.</t>
  </si>
  <si>
    <t xml:space="preserve">Advancing the Security of LDACS</t>
  </si>
  <si>
    <t xml:space="preserve">IEEE Transactions on Network and Service Management</t>
  </si>
  <si>
    <t xml:space="preserve">10.1109/TNSM.2022.3189736</t>
  </si>
  <si>
    <t xml:space="preserve">The 'Single European Sky' air traffic management master plan foresees the introduction of several modern digital data links for aeronautical communications. The candidate for long-range continental communications is the L-band Digital Aeronautical Communications System (LDACS). LDACS is a cellular, ground-based digital communications system for flight guidance and communications related to safety and regularity of flight. Hence, the aeronautical standards, imposed by the International Civil Aviation Organization (ICAO), for cybersecurity of the link and network layer, apply. In previous works, threat- and risk analyses of LDACS were conducted, a draft for an LDACS cybersecurity architecture introduced, algorithms proposed, and the security of a Mutual Authentication and Key Establishment (MAKE) procedure of LDACS formally verified. However, options for cipher-suites and certificate management for LDACS were missing. Also, previous works hardly discussed the topic of post-quantum security for LDACS. This paper proposes a cell-attachment procedure, which establishes a secure LDACS communication channel between an aircraft and corresponding ground-station upon cell-entry of the aircraft. Via the design of a hybrid LDACS Public Key Infrastructure (PKI), the choice of a pre- or post-quantum Security Level (SL) is up to the communications participants. With that, this work introduces a full LDACS cell-attachment protocol based on a PKI, certificates, certificate revocation and cipher-suites including pre- and post-quantum options. Evaluations in the symbolic model show the procedure to fulfill LDACS security requirements and a communications performance evaluation demonstrates feasibility, matching requirements imposed by regulatory documents.  © 2004-2012 IEEE.</t>
  </si>
  <si>
    <t xml:space="preserve">R0909</t>
  </si>
  <si>
    <t xml:space="preserve">Dave G.; Choudhary G.; Sihag V.; You I.; Choo K.-K.R.</t>
  </si>
  <si>
    <t xml:space="preserve">Cyber security challenges in aviation communication, navigation, and surveillance</t>
  </si>
  <si>
    <t xml:space="preserve">10.1016/j.cose.2021.102516</t>
  </si>
  <si>
    <t xml:space="preserve">As the aviation sector becomes digitized and increasingly reliant on wireless technology, so has its attractiveness to cyber attackers including nation-state actors and terrorists. For example, vulnerabilities in the broad range of interconnected devices and (sub)systems, their implementations, as well as design flaws, can be exploited to carry out nefarious activities. Therefore, in this paper we review the existing literature to understand the diverse attack vectors associated with communication, navigation, and surveillance systems, and how some of these security issues can be mitigated. Although a number of survey and review articles have analyzed various wireless technologies in aviation, to the best of our knowledge, no work has systematically analyzed them from communication, navigation and surveillance perspectives collectively. Furthermore, we present potential software defined radio (SDR)-based attacks targeting popular wireless technologies. Based on our in-depth review, we highlight existing limitations and discuss potential research opportunities. © 2021 Elsevier Ltd</t>
  </si>
  <si>
    <t xml:space="preserve">R0531</t>
  </si>
  <si>
    <t xml:space="preserve">Ukwandu E.; Ben-Farah M.A.; Hindy H.; Bures M.; Atkinson R.; Tachtatzis C.; Andonovic I.; Bellekens X.</t>
  </si>
  <si>
    <t xml:space="preserve">Cyber-Security Challenges in Aviation Industry: A Review of Current and Future Trends</t>
  </si>
  <si>
    <t xml:space="preserve">Information (Switzerland)</t>
  </si>
  <si>
    <t xml:space="preserve">10.3390/info13030146</t>
  </si>
  <si>
    <t xml:space="preserve">The integration of Information and Communication Technology (ICT) tools into mechanical devices in routine use within the aviation industry has heightened cyber-security concerns. The extent of the inherent vulnerabilities in the software tools that drive these systems escalates as the level of integration increases. Moreover, these concerns are becoming even more acute as the migration within the industry in the deployment of electronic-enabled aircraft and smart airports gathers pace. A review of cyber-security attacks and attack surfaces within the aviation sector over the last 20 years provides a mapping of the trends and insights that are of value in informing on future frameworks to protect the evolution of a key industry. The goal is to identify common threat actors, their motivations, attacks types and map the vulnerabilities within aviation infrastructures most commonly subject to persistent attack campaigns. The analyses will enable an improved understanding of both the current and potential future cyber-security protection provisions for the sector. Evidence is provided that the main threats to the industry arise from Advance Persistent Threat (APT) groups that operate, in collaboration with a particular state actor, to steal intellectual property and intelligence in order to advance their domestic aerospace capabilities as well as monitor, infiltrate and subvert other sovereign nations’ capabilities. A segment of the aviation industry commonly attacked is the Information Technology (IT) infrastructure, the most prominent type of attack being malicious hacking with intent to gain unauthorised access. The analysis of the range of attack surfaces and the existing threat dynamics has been used as a foundation to predict future cyber-attack trends. The insights arising from the review will support the future definition and implementation of proactive measures that protect critical infrastructures against cyber-incidents that damage the confidence of customers in a key service-oriented industry. © 2022 by the authors. Licensee MDPI, Basel, Switzerland.</t>
  </si>
  <si>
    <t xml:space="preserve">R0559</t>
  </si>
  <si>
    <t xml:space="preserve">Niraula M.</t>
  </si>
  <si>
    <t xml:space="preserve">Cybersecurity and Interoperability of Aviation Safety Service Ecosystem</t>
  </si>
  <si>
    <t xml:space="preserve">10.1109/ICNS54818.2022.9771482</t>
  </si>
  <si>
    <t xml:space="preserve">As the largest high speed mobile network system, the aviation safety service integrated network provides air-to-ground communication to various operators, Air Navigation Service Providers (ANSPs) and airlines across multiple continents. Maintaining such a large network and mobile nodes comes with challenges. Seamless interoperability underpinned by cybersecurity is essential to successful safety service communication. By ensuring that technologies work together across platforms and geographic locations, we better protect the data that flows throughout our aviation systems. And when data is secure, we're able to confidently extend secure communication to reach aircraft, ANSPs, content providers, airline operation centers, and many more no matter where they receive and send messages across multiple endpoints within an aviation ecosystem across the globe. To provide aviation partners with cutting-edge equipment and to ensure that connected devices and systems meet or surpass security standards, the aviation community needs to be committed to ensuring technologies meet needed security specifications including security standards, the Risk Management Framework (RMF), and compliance to the contemporary security protocols and processes. By performing to these specifications, the aviation community can better enable the system-wide availability and cybersecurity of aviation data, thereby facilitating more timely and effective secure communication. This will require an extensive set of external compliance certifications, attestations to objective evidence of compliance to security regulations (examples include ISO 13485, ISO 14971, ISO 27001/18, SOC2) and product cybersecurity testing certification. This also requires combined cybersecurity testing elements of the established standard for software cybersecurity for network-connectable products, as well as security principles from international standards. This paper discusses the critical components of seamless interoperability underpinned by cybersecurity and related issues for secure data exchanges that ensures the continuum of Internet Protocol Suite (IPS) based safety service communication networks to the aviation safety service ecosystem. © 2022 IEEE.</t>
  </si>
  <si>
    <t xml:space="preserve">R0582</t>
  </si>
  <si>
    <t xml:space="preserve">Nasser H.; Berz G.; Gómez M.; de la Fuente A.; Fidalgo J.; Li W.; Pattinson M.; Truffer P.; Troller M.</t>
  </si>
  <si>
    <t xml:space="preserve">GNSS Interference Detection and Geolocalization for Aviation Applications</t>
  </si>
  <si>
    <t xml:space="preserve">35th International Technical Meeting of the Satellite Division of the Institute of Navigation, ION GNSS+ 2022</t>
  </si>
  <si>
    <t xml:space="preserve">10.33012/2022.18358</t>
  </si>
  <si>
    <t xml:space="preserve">GNSS is the primary enabler for Performance Based Navigation (PBN) and Automatic Dependent Surveillance Broadcast (ADS-B) applications and is becoming an increasingly essential technology used in air navigation. GNSS outputs are also used in various other Communication, Navigation and Surveillance (CNS) applications. Unfortunately, in some regions, Radio Frequency Interferences (RFI) affecting aviation has become a widespread challenge. EUROCONTROL monitors GNSS RFI impact through a number of means, including pilot reports and ADS-B data. Thanks to alternative CNS capabilities, these situations can generally be managed. Nonetheless, EUROCONTROL is investigating how GNSS RFI impact zones can be detected and how this information can be used by operational centres to improve the management of air traffic when subject to GNSS RFI. EUROCONTROL has conducted a GNSS Receiver Interference Testing (GRIT) study with a GMV-led consortium to better understand the behavior of currently fielded aircraft GNSS receivers when subject to RFI. The test campaign used three commonly used aviation receivers. The objective of the testing was to see how receiver observables could be used to help detect RFI. Based on the simulation results, a set of RFI detection techniques have been defined and tested against different types of RFI, including CW, chirp and Noise-like jammers. The proposed techniques focused on the use of C/N0 derived metrics: detection of RFI based on the entropy of the C/N0 mean, Classification of RFI versus non-RFI events using Support Vector Machine method and Random Sample Consensus method applied to C/N0 versus elevation. These methods will be further explained in the paper and their performances will be discussed in terms of detection, complexity and possible ways of improvement. Finally, a dataset was generated to obtain receiver tracking profiles with a simulated RFI source to see how ADS-B data can be used to detect and localize the RFI source. © 35th International Technical Meeting of the Satellite Division of the Institute of Navigation, ION GNSS+ 2022. All rights reserved.</t>
  </si>
  <si>
    <t xml:space="preserve">R0813</t>
  </si>
  <si>
    <t xml:space="preserve">Juvonen A.; Costin A.; Turtiainen H.; Hamalainen T.</t>
  </si>
  <si>
    <t xml:space="preserve">On Apache Log4j2 Exploitation in Aeronautical, Maritime, and Aerospace Communication</t>
  </si>
  <si>
    <t xml:space="preserve">IEEE Access</t>
  </si>
  <si>
    <t xml:space="preserve">10.1109/ACCESS.2022.3198947</t>
  </si>
  <si>
    <t xml:space="preserve">Apache Log4j2 is a prevalent logging library for Java-based applications. In December 2021, several critical and high-impact software vulnerabilities, including CVE-2021-44228, were publicly disclosed, enabling remote code execution (RCE) and denial of service (DoS) attacks. To date, these vulnerabilities are considered critical and the consequences of their disclosure far-reaching. The vulnerabilities potentially affect a wide range of internet of things (IoT) devices, embedded devices, critical infrastructure (CI), and cyber-physical systems (CPSs). In this paper, we study the effects and feasibility of exploiting these vulnerabilities in mission-critical aviation and maritime environments using the ACARS, ADS-B, and AIS protocols. We develop a systematic methodology and an experimental setup to study and identify the protocols' exploitable fields and associated attack payload features. For our experiments, we employ software-defined radios (SDRs), use open-source software, develop novel tools, and develop features to existing software. We evaluate the feasibility of the attacks and demonstrate end-to-end RCE with all three studied protocols. We demonstrate that the aviation and maritime environments are susceptible to the exploitation of the Log4j2 vulnerabilities, and that the attacks are feasible for non-sophisticated attackers. To facilitate further studies related to Log4j2 attacks on aerospace, aviation, and maritime infrastructures, we release relevant artifacts (e.g., software, documentation, and scripts) as open-source, complemented by patches for bugs in open-source software used in this study.  © 2022 IEEE.</t>
  </si>
  <si>
    <t xml:space="preserve">R0848</t>
  </si>
  <si>
    <t xml:space="preserve">Sathaye H.; Noubir G.; Ranganathan A.</t>
  </si>
  <si>
    <t xml:space="preserve">On the Implications of Spoofing and Jamming Aviation Datalink Applications</t>
  </si>
  <si>
    <t xml:space="preserve">ACM International Conference Proceeding Series</t>
  </si>
  <si>
    <t xml:space="preserve">10.1145/3564625.3564651</t>
  </si>
  <si>
    <t xml:space="preserve">ADS-B / SSR / Mode S / MLAT; CPDLC / ACARS / VDL2 / ATN; GNSS / SBAS / GBAS</t>
  </si>
  <si>
    <t xml:space="preserve">Aviation datalink applications such as controller-pilot datalink communications (CPDLC) and automatic dependent surveillance-contract (ADS-C) were designed to supplement existing communication systems to accommodate increasing air traffic. These applications are typically used to provide departure clearance, en-route services such as altitude and flight plan changes, air traffic surveillance and reporting, and radio frequency assignments. Unlike most attacks proposed so far where the attacker influences decision-making through manipulated instruments, attacks on aviation datalink provide adversaries with a new attack vector to influence the flight crew's decision-making through direct instructions. In this work, we perform a security analysis of these applications and outline the requirements for executing a successful attack. Specifically, we propose a coordinated multi-aircraft attack and show how an adversary capable of spoofing datalink messages and reactive jamming can influence the flight crew's decision-making. Through geospatial analysis of historical flight data, we identify 48 vulnerable regions where an attacker has a 90% chance of encountering favorable conditions for coordinated multi-aircraft attacks. Next, we implement a reactive jammer that ensures stealthy attack execution by targeting messages from a specific aircraft with a reaction time of 1.48 ms and 98.85% jamming success. Even though by themselves these attacks have a lower probability of endangering the safety of the aircraft, the threat is magnified when combined with attacks on other avionics. Finally, we discuss the possibility of executing integrated attacks on aircraft system as a whole emphasizing the importance of securing individual components in the aviation ecosystem.  © 2022 ACM.</t>
  </si>
  <si>
    <t xml:space="preserve">R0849</t>
  </si>
  <si>
    <t xml:space="preserve">Wang B.; Tresoldi G.; Strohmeier M.; Lenders V.</t>
  </si>
  <si>
    <t xml:space="preserve">On the Security of the FLARM Collision Warning System</t>
  </si>
  <si>
    <t xml:space="preserve">ASIA CCS 2022 - Proceedings of the 2022 ACM Asia Conference on Computer and Communications Security</t>
  </si>
  <si>
    <t xml:space="preserve">10.1145/3488932.3517409</t>
  </si>
  <si>
    <t xml:space="preserve">FLARM</t>
  </si>
  <si>
    <t xml:space="preserve">In the past decade, the vulnerability of aircraft communications against low-resourced attackers has received significant attention both in the information security community and from aviation industry and regulators. Until now, research on attacks against such communications technologies has focused on larger aircraft, neglecting the technologies used in light aircraft and unmanned aerial vehicles (UAV). As such lighter aircraft make up a large and growing majority of both airspace users and casualties, this is a glaring oversight from a security and safety perspective. To alleviate this problem, we conduct a first comprehensive security analysis of the FLARM ecosystem, a collision avoidance system focusing on light aircraft and UAV with a large and increasing distribution in many countries. Besides being used in more than 40,000 aircraft, several large providers of air traffic data capture the unauthenticated FLARM data using ground receivers in order to feed crucial downstream applications. To show the vulnerability of this ecosystem, we design, implement and evaluate a practical spoofing attack, which is capable of interacting with FLARM receivers in the air and on the ground. The demonstrated attack uses low-cost hardware and open-source software and is as such accessible to a wide range of threat actors, resulting in a significant potential impact on the safety of all airspace users. Finally, in order to counter such attacks, we propose a first anomaly detection approach based on physical-layer characteristics and validate it with real-world aircraft data. © 2022 ACM.</t>
  </si>
  <si>
    <t xml:space="preserve">R0901</t>
  </si>
  <si>
    <t xml:space="preserve">Ilyenko A.; Ilyenko S.</t>
  </si>
  <si>
    <t xml:space="preserve">Program Module of Cryptographic Protection Critically Important Information of Civil Aviation Channels</t>
  </si>
  <si>
    <t xml:space="preserve">Lecture Notes on Data Engineering and Communications Technologies</t>
  </si>
  <si>
    <t xml:space="preserve">10.1007/978-3-031-04812-8_20</t>
  </si>
  <si>
    <t xml:space="preserve">Given the ever-growing statistics of cyber-attacks on civil aviation worldwide, after in-depth analysis and study of this issue, the authors highlighted the current state of cyber security and organization of protection of ground-to-air and air-to-air fleet of aircraft in operation. Airlines of Ukraine, as well as to consider in detail the world experience of aircraft leaders such as Airbus and Boeing. The authors propose test software for the protection of aircraft communication channels designed for the Antonov Design Bureau to ensure the integrity and confidentiality of the transmission of information in order to prevent the implementation of cyber-attacks. Proposed test software use electronic digital signature technology based on elliptic curves algorithm in combination with symmetric encryption and allows today reduces the quantitative value of the average key generation time by an average of 36%, which requires 12 times less load on the computer system and increases the amount of memory to store the keys in the civil aviation communication channels of Antonov aircraft and provides authentication of aircraft and fully protect every information message they transmit. This solution for Antonov Design Bureau aircraft is new, has not been certified on serial aircraft and has no analogues. © 2022, The Author(s), under exclusive license to Springer Nature Switzerland AG.</t>
  </si>
  <si>
    <t xml:space="preserve">R0959</t>
  </si>
  <si>
    <t xml:space="preserve">Baselt G.; Strohmeier M.; Pavur J.; Lenders V.; Martinovic I.</t>
  </si>
  <si>
    <t xml:space="preserve">Security and Privacy Issues of Satellite Communication in the Avlatlon Domain</t>
  </si>
  <si>
    <t xml:space="preserve">10.23919/CyCon55549.2022.9811060</t>
  </si>
  <si>
    <t xml:space="preserve">SATCOM</t>
  </si>
  <si>
    <t xml:space="preserve">Modern aviation systems increasingly use satellite channels for data communication. However, many SATCOM providers do not offer encryption below the application layer by default, making their services vulnerable to eavesdroppers and creating security concerns. This research analyses such vulnerabilities specifically with regard to the aviation domain. We show that even low-resourced attackers can exploit this lack of security. We capture a broad range of SATCOM transmissions in the Ku-Band frequencies using a TV Tuner Card and widely available low-budget equipment for under 400 US dollars. Over 370 GB of aviation-related satellite-downstream data from high-throughput satellites were analysed from a measurement site in Central Europe. The results of this campaign reveal both security and privacy concerns across the whole spectrum of the industry. We identify unencrypted SATCOM usage comprising usage from in-flight entertainment systems to leaked private encrypted keys. Furthermore, we identified 328 specific aircraft broadcasting their live operations, including three government aircraft that actively blocked any information on their flights from air-traffic tracking sites. This work concludes with recommendations for both satellite service providers and aviation stakeholders on how these issues could be solved by using encryption at different network layers.  © 2022 NATO CCDCOE.</t>
  </si>
  <si>
    <t xml:space="preserve">R0679</t>
  </si>
  <si>
    <t xml:space="preserve">Mäurer N.; Guggemos T.; Ewert T.; Gräupl T.; Schmitt C.; Grundner-Culemann S.</t>
  </si>
  <si>
    <t xml:space="preserve">Security in Digital Aeronautical Communications A Comprehensive Gap Analysis</t>
  </si>
  <si>
    <t xml:space="preserve">10.1016/j.ijcip.2022.100549</t>
  </si>
  <si>
    <t xml:space="preserve">Aeronautical communications still heavily depend on analog radio systems, despite the fact that digital communication has been introduced to aviation in the 1990's. Since then, the digitization of civil aviation has been continued, as considerable pressure to rationalize the aeronautical spectrum has built up. In any modern digital communications system, the threat of digital attacks needs to be considered carefully. This is especially true for safety-critical infrastructure, which aviation's operational communication services clearly are. In this article, we reverse the traditional approach in the aeronautical industry of looking at a system from the safety perspective and assume a security-oriented point of view. We use the lens of security properties to review the requirements and specifications of aeronautical communications infrastructure as of 2021 and observe that most standards lack cybersecurity as a key requirement. Furthermore, we review the academic literature to identify possible solutions for the lack of cybersecurity measures in aeronautical communications system. We observe that most systems have been thoroughly analyzed within the academic security community, some for decades even, with many papers proposing concrete solutions to missing cybersecurity features. We conclude that there is a systematic problem in the design process of aeronautical communication systems. We provide a list of eight key findings and recommendations to improve the process of specifying such systems in a secure manner. © 2022 The Authors</t>
  </si>
  <si>
    <t xml:space="preserve">R0926</t>
  </si>
  <si>
    <t xml:space="preserve">Khan S.; Gurtov A.; Braeken A.; Kumar P.</t>
  </si>
  <si>
    <t xml:space="preserve">A security model for Controller-Pilot Data communication link</t>
  </si>
  <si>
    <t xml:space="preserve">10.1109/ICNS52807.2021.9441637</t>
  </si>
  <si>
    <t xml:space="preserve">Communication systems in aviation tend to focus on safety rather than security. Protocols such as ADS-B are known to use plain-text, unauthenticated messages and thus are open to various attacks. Controller-Pilot Data Communication Link is no exception and was shown vulnerable also in practice. In this paper, we propose a cryptographic mechanism to provide secure mobility for CPDLC that can enable data encryption and authentication. The protocol is formally verified with the Proverif tool. We also estimate the byte overhead in CPDLC use. © 2021 IEEE.</t>
  </si>
  <si>
    <t xml:space="preserve">R0908</t>
  </si>
  <si>
    <t xml:space="preserve">Lellek P.; Leydold P.; Vojnoski I.; Eier D.</t>
  </si>
  <si>
    <t xml:space="preserve">Anomaly detection in ATM-grade software defined networks</t>
  </si>
  <si>
    <t xml:space="preserve">10.1109/ICNS52807.2021.9441630</t>
  </si>
  <si>
    <t xml:space="preserve">The Federal Aviation Administration (FAA) and Air Navigation Service Providers (ANSPs) around the world are looking to share data and get interconnected with each other as well as data service consumers. This interconnectivity enables new functionality but also new attack vectors. Today, agencies mostly rely on commercial security solutions providing adequate protection for commercial data services but have deficiencies when it comes to the Air Traffic Management (ATM) environment with its requirement for highest resilience, multi-level redundancies, and dynamic environment. This paper introduces a novel approach to create an ATM-grade baseline integrating operational security events (OSE) and alerts (OSA) based on abnormal or malicious network traffic. An assured and trusted baseline is key to detecting atypical or malicious traffic. A testbed has been developed that models the regular ATM-grade IP-network behavior. The sample configuration uses open source stacks ElastiFlow, and SELKS to provide network flow data collection and visualization and demonstrate resilience against hacking attempts via unauthorized communication and protocols between nodes, unauthorized configuration changes via distribution of parameters to network nodes, as well as detection of malicious communication attempts from unauthorized devices on the network. A Software Defined Network (SDN) architecture is chosen as it features a programmable, efficient network configuration improving network performance and monitoring. The OpenFlow protocol is used to provide the control plane in the testbed. Data flows will be modeled as synchronous as well as asynchronous. Vulnerabilities are then identified, attack scenarios defined and applied to the testbed setup. The available SDN platform tools are then used to detect the anomalies. Sets of experiments are performed and the results compared and discussed. © 2021 IEEE.</t>
  </si>
  <si>
    <t xml:space="preserve">R0698</t>
  </si>
  <si>
    <t xml:space="preserve">Garcia A.B.; Babiceanu R.F.; Seker R.</t>
  </si>
  <si>
    <t xml:space="preserve">Artificial intelligence and machine learning approaches for aviation cybersecurity: An overview</t>
  </si>
  <si>
    <t xml:space="preserve">10.1109/ICNS52807.2021.9441594</t>
  </si>
  <si>
    <t xml:space="preserve">CPDLC / ACARS / VDL2 / ATN; On-board avionics networks</t>
  </si>
  <si>
    <t xml:space="preserve">Artificial Intelligence (AI) and Machine Learning (ML) applications are currently found across all engineering domains, including cybersecurity engineering. This paper presents an overview of the AI-systems and technologies that can greatly benefit the security domain and its potential solutions for the aviation industry: anomaly detection for avionics, securing data link communications, and security certification, among others. As showcased in the “National Strategy for Aviation Security” report in December 2018 and the U.S. Government Accountability Office report “Aviation Cybersecurity” in October 2020, there is a need for resilient cybersecurity practices and approaches to address the current issues that aviation faces today. Designing and implementing solutions to address these issues without exploring the feasibility of harnessing AI-powered cybersecurity tools would overlook the potential advantages these technologies can offer. Therefore, this paper aims to provide a roadmap to adapt well-known ML-cybersecurity approaches to aviation security engineering and airworthiness: (i) autonomous and semi-autonomous cybersecurity for autonomous flight operations security, (ii) game theory models for adversarial and uncertainty modeling, (iii) human-AI interfaces for airport security monitoring and decision-making assistance, (iv) predictive analytics for anomaly detection for avionics and e-enabled aircraft, and (v) AI-based reasoning trustworthiness for software reliability and security certification. This paper also presents the challenges of including AI-cybersecurity in the aviation ecosystem to ground the proposed solutions within an accepted set of industry regulations, such as design verification for AI/ML algorithms and certification specifications for AI/ML solutions for manufacturers and agencies. © 2021 IEEE.</t>
  </si>
  <si>
    <t xml:space="preserve">R0890</t>
  </si>
  <si>
    <t xml:space="preserve">Ronen R.; Ben-Moshe B.</t>
  </si>
  <si>
    <t xml:space="preserve">Cyberattack on Flight Safety: Detection and Mitigation Using LoRa</t>
  </si>
  <si>
    <t xml:space="preserve">Sensors (Basel, Switzerland)</t>
  </si>
  <si>
    <t xml:space="preserve">10.3390/s21134610</t>
  </si>
  <si>
    <t xml:space="preserve">Automatic Dependent Surveillance-Broadcast (ADS-B) is the main communication system currently being used in Air Traffic Control (ATC) around the world. The ADS-B system is planned to be a key component of the Federal Aviation Administration (FAA) NextGen plan, which will manage the increasingly congested airspace in the coming decades. While the benefits of ADS-B are widely known, its lack of security measures and its vulnerability to cyberattacks such as jamming and spoofing is a great concern for flight safety experts. In this paper, we first summarize the cyberattacks and challenges related to ADS-B's vulnerabilities. Thereafter, we present theoretical and practical methods for implementing an Internet of Things (IoT)-based system as a possible additional safety layer to mitigate the presented cyber-vulnerabilities. Finally, a set of simulations and field experiments is presented to test the expected performance of the suggested IoT flight safety system. We conjecture that the presented system can be implemented in a wide range of civilian airplanes, leading to an improvement in flight safety in cases of cyberattacks or the absence of reliable ADS-B communication.</t>
  </si>
  <si>
    <t xml:space="preserve">R0669</t>
  </si>
  <si>
    <t xml:space="preserve">Khan S.; Kumar P.; Braeken A.; Gurtov A.</t>
  </si>
  <si>
    <t xml:space="preserve">Detection of evil flies: securing air-ground aviation communication</t>
  </si>
  <si>
    <t xml:space="preserve">Proceedings of the Annual International Conference on Mobile Computing and Networking, MOBICOM</t>
  </si>
  <si>
    <t xml:space="preserve">10.1145/3447993.3482869</t>
  </si>
  <si>
    <t xml:space="preserve">The aviation community is employing various air traffic control and mobile communication technologies, such as ubiquitous data links, wireless communication architectures and protocols. Recently, software-defined networking (SDN) based architectures (i.e., cockpit network communications environment testing (COMET)) have been proposed for Air-Ground communication. However, an evil can break the communication between a pilot and air traffic control, resulting in a hazardous (or life-threatening) situation up in the air or failure of ground equipment. This paper proposes an efficient evil detection and prevention mechanism (called DoEF) for the COMET architecture. The proposed DoEF utilizes a deep learning-based approach, i.e., long-short term memory (LSTM), to detect the evil flies and provide possible countermeasures. Our preliminary results show that the proposed scheme reduces the detection time and increases the detection accuracy of distributed denial of service (DDoS) attacks for the aviation network. © 2021 ACM.</t>
  </si>
  <si>
    <t xml:space="preserve">R0596</t>
  </si>
  <si>
    <t xml:space="preserve">Maurer N.; Graupl T.; Schmitt C.; Rodosek G.D.</t>
  </si>
  <si>
    <t xml:space="preserve">PMAKE: Physical Unclonable Function-based Mutual Authentication Key Exchange Scheme for Digital Aeronautical Communications</t>
  </si>
  <si>
    <t xml:space="preserve">Proceedings of the IM 2021 - 2021 IFIP/IEEE International Symposium on Integrated Network Management</t>
  </si>
  <si>
    <t xml:space="preserve">Growth of civil air traffic and new entrants into the air transportation sector such as Unmanned Aeronautical Vehicles (UAV) pose a great challenge for air traffic management and its supporting Communication, Navigation and Surveillance (CNS) infrastructure. Analogue systems have to be replaced by digital systems to optimize spectrum efficiency, and automation needs to be introduced to support human decision making at scale. As safety and security are strongly intertwined in aviation, cybersecurity is one key enabler for digitalization in civil aviation. However, few deployed digital aeronautical communications systems incorporate dedicated cybersecurity measures. Link requirements of low latency, low bandwidth, and long range make aeronautical datalinks especially challenging in terms of security design. Further, challenging are the nature of wireless communication itself and the political boundaries in international air transportation concerning unique communication participant identification. Thus, this paper proposes a concept for a challenge-response (CR) based Physical Unclonable Function (PUF) Mutual Authentication Key Exchange scheme, short PMAKE, binding communication identity and radio device together. Initial evaluations show its suitability for the digital aeronautical communications system LDACS. © 2021 IFIP.</t>
  </si>
  <si>
    <t xml:space="preserve">R0524</t>
  </si>
  <si>
    <t xml:space="preserve">Alsulami A.A.; Zein-Sabatto S.</t>
  </si>
  <si>
    <t xml:space="preserve">Resilient Cyber-Security Approach for Aviation Cyber-Physical Systems Protection against Sensor Spoofing Attacks</t>
  </si>
  <si>
    <t xml:space="preserve">2021 IEEE 11th Annual Computing and Communication Workshop and Conference, CCWC 2021</t>
  </si>
  <si>
    <t xml:space="preserve">10.1109/CCWC51732.2021.9376158</t>
  </si>
  <si>
    <t xml:space="preserve">The aviation industries are transitioning from conventional aircraft systems to Aviation Cyber-Physical Systems (ACPS) based aircraft. However, like any Cyber-Physical Systems (CPS), the ACPS are vulnerable to cyber-attacks that can be mounted by adversaries through the communication network infrastructure. This paper proposes a novel and resilient security protocol for detecting and defending ACPS against sensor spoofing cyber-attacks. First, a communication environment was developed to establish an aircraft Networked Control System (NCS) using the SimEvents toolbox. Then, a cyber-attack detection algorithm based on the positive selection of the Artificial Immune System (AIS) approach was developed and used to detect and drop suspicious communication packets on the aircraft network traffic. Finally, the NCS and the detection algorithm were integrated and tested on real cyber-security attack scenarios. The algorithm's accuracy was 0.96 based on the True Positive and True Negative algorithm detection rate. For further defending the aircraft against cyber-attacks, Nonlinear Autoregressive Exogenous (NARX) algorithm was developed to reconstruct or estimate the network dropped packets. The estimation accuracy of the NARX reached 0.99 using the coefficient of determination (R-value) based on the linear regression approach. The real-time simulation test results showed that the sensor spoofing cyber-attack was successfully detected. Also, the communication network of the ACPS was defended against the attack because the ACPS was maintaining the normal performance during the course of the cyber-attack. © 2021 IEEE.</t>
  </si>
  <si>
    <t xml:space="preserve">R0727</t>
  </si>
  <si>
    <t xml:space="preserve">Elmarady A.A.; Rahouma K.</t>
  </si>
  <si>
    <t xml:space="preserve">Studying Cybersecurity in Civil Aviation, Including Developing and Applying Aviation Cybersecurity Risk Assessment</t>
  </si>
  <si>
    <t xml:space="preserve">10.1109/ACCESS.2021.3121230</t>
  </si>
  <si>
    <t xml:space="preserve">In addition to the importance of safety in civil aviation, the significance of cybersecurity in the aviation sector cannot be ignored, and this fact has often been highlighted owing to frequent cyber-attacks that denigrate victim(s) and also lead to political and economic controversies. Cybersecurity has recently received a major boost, with the shift of air navigation facilities from analog ground-based systems to digital space-based systems to accommodate the tremendous growth in air traffic density. Furthermore, most air navigation facilities have open designs that tend to overlook security concerns. In this regard, identifying a systematic methodology for aviation cybersecurity risk assessment is a key element in the identification of potential threats, and assessment of their likelihood and risk levels, whereby risks can be reduced to tolerable levels through appropriate mitigation measures. Existing review articles have not addressed cybersecurity in all the various aviation systems, and have not considered a systematic methodology for aviation cybersecurity risk assessment. This paper therefore presents a systematic qualitative and quantitative cybersecurity risk assessment methodology for legacy and next-generation critical infrastructure in aviation systems, such as air-ground communication, radio navigation aids, aeronautical surveillance, and system-wide information management (SWIM). Our analysis shows that the communication, navigation, and surveillance systems with the highest risk levels are very-high frequency voice communication, satellite-based navigation, and automatic dependent surveillance-broadcast, respectively, while those with the lowest risk levels are controller-pilot data link communication, ground-based radio navigation aids, and secondary surveillance radar, respectively. Furthermore, the risk level of potential cyber-attacks in SWIM is medium. © 2021 Institute of Electrical and Electronics Engineers Inc.. All rights reserved.</t>
  </si>
  <si>
    <t xml:space="preserve">R0962</t>
  </si>
  <si>
    <t xml:space="preserve">Zeng L.; Wang B.; Tian J.; Wang Z.</t>
  </si>
  <si>
    <t xml:space="preserve">Threat impact analysis to air traffic control systems through flight delay modeling</t>
  </si>
  <si>
    <t xml:space="preserve">Computers and Industrial Engineering</t>
  </si>
  <si>
    <t xml:space="preserve">10.1016/j.cie.2021.107731</t>
  </si>
  <si>
    <t xml:space="preserve">Air traffic control (ATC) systems increasingly rely on communication, navigation, and other emerging digital technologies, making them more susceptible to external threats. To better analyze the different impacts, this paper proposes a new flight delay model that models the ATC system from two perspectives. In the air delay, we view the problem as an optimal path choice with a set of capacity constraints and consider the speed change, rerouting, and pathfinding. In the ground delay, the concept of cellular automata is extended to model the flight queue at each airport. Last, the system dynamics of delays are considered, and the two stages of modeling are combined using flight delay as an indicator to achieve an intuitive description of the impact on the system threat. Compared to the current state of the art, the model is shown to be a simple way to analyze the impact of different sophisticated threats. It also helps aviation system planners better understand the impact of different threats so that effective measures can be taken to improve system performance. © 2021 Elsevier Ltd</t>
  </si>
  <si>
    <t xml:space="preserve">R0917</t>
  </si>
  <si>
    <t xml:space="preserve">Smailes J.; Moser D.; Smith M.; Strohmeier M.; Lenders V.; Martinovic I.</t>
  </si>
  <si>
    <t xml:space="preserve">You talkin' to me? Exploring Practical Attacks on Controller Pilot Data Link Communications</t>
  </si>
  <si>
    <t xml:space="preserve">CPSS 2021 - Proceedings of the 7th ACM Cyber-Physical System Security Workshop</t>
  </si>
  <si>
    <t xml:space="preserve">10.1145/3457339.3457985</t>
  </si>
  <si>
    <t xml:space="preserve">Worldwide, voice-based Air Traffic Control (ATC) communications are gradually being replaced with data link-based equivalents, namely the Controller Pilot Data Link Communications (CPDLC) system. This helps to manage the high levels of congestion on voice-based ATC-under modern traffic levels these analog voice channels are extremely busy, especially at times of peak traffic. CPDLC offers the ability to conduct most ATC actions in the form of digital text-based messages. As with voice-based ATC, CPDLC has no built-in security mechanisms. Furthermore, the links which carry CPDLC do not have security mechanisms either. In this paper, we analyze the susceptibility of CPDLC to attacks by a software-defined radio (SDR)-equipped attacker. Crucially, this is different to attacks on aviation surveillance systems, as it requires the attacker to comply with a larger authentication protocol. We identify attacks on CPDLC, including a man-in-The-middle attack on the protocol. This attack enables a take-over of an aircraft's communication on an attacker-specified frequency, after which arbitrary CPDLC commands can be transmitted to the target without alerting the legitimate controller. We empirically assess the likely effectiveness of this attack through a data collection and analysis exercise. In order to counteract this type of attack, we propose three countermeasures of different complexities, including logical checks and a public key infrastructure approach. We also estimate to what extent these countermeasures can be implemented without altering the underlying protocol.  © 2021 ACM.</t>
  </si>
  <si>
    <t xml:space="preserve">R0914</t>
  </si>
  <si>
    <t xml:space="preserve">Issam S.M.; Adnane A.; Madiabdessalam A.I.T.</t>
  </si>
  <si>
    <t xml:space="preserve">Anti-jamming techniques for aviation gnss-based navigation systems: Survey</t>
  </si>
  <si>
    <t xml:space="preserve">2020 IEEE 2nd International Conference on Electronics, Control, Optimization and Computer Science, ICECOCS 2020</t>
  </si>
  <si>
    <t xml:space="preserve">10.1109/ICECOCS50124.2020.9314449</t>
  </si>
  <si>
    <t xml:space="preserve">Aviation is now heavily dependent on GNSS signals to get the PNT (Position, Navigation, Timing) elements with a high degree of accuracy, reliability and continuity. The International Civil Aviation Organization (ICAO) with the support of regional organizations like the FAA (Federal Aviation Authority) and Eurocontrol are now moving to concretize the recommendations of GANP (Global Air Navigation Plan) which make from GNSS the key technology of CNS/ATM concept (Communication, Navigation, Surveillance/Air Traffic Management). So, it is obvious that the security and the integrity of GNSS signals must be a concern of all actors in military and civil aviation. In this paper, we will present a survey of the anti-jamming techniques for airborne GNSS-based navigation systems and some approaches to detect, mitigate the jamming and provide a secure GNSS-based system.  © 2020 IEEE.</t>
  </si>
  <si>
    <t xml:space="preserve">R0685</t>
  </si>
  <si>
    <t xml:space="preserve">Tamimi A.; Hahn A.; Roy S.</t>
  </si>
  <si>
    <t xml:space="preserve">Cyber Threat Impact Analysis to Air Traffic Flows Through Dynamic Queue Networks</t>
  </si>
  <si>
    <t xml:space="preserve">ACM Transactions on Cyber-Physical Systems</t>
  </si>
  <si>
    <t xml:space="preserve">10.1145/3377425</t>
  </si>
  <si>
    <t xml:space="preserve">Air traffic control (ATC) increasingly depends on information and communication technology to manage traffic flow through highly congested and increasingly interdependent airspace regions. Although these systems are critical to ensuring the efficiency and safety of our airspace, they are also increasingly vulnerable to cyber threats that could potentially lead to reduction in capacity and/or reorganization of traffic flows. In this article, we model various cyber threats to ATC systems and analyze how these attacks could impact the flow of aircraft through the airspace. To perform this analysis, we consider a model for wide-area air traffic based on a dynamic queuing network model. Then we introduce three different attacks (Route Denial of Service, Route Selection Tampering, and Sector Denial of Service) to the ATC system and explore how these attacks manipulate the sector flows by evaluating the queue backlogs for each sector's outflows. Furthermore, we explore graph-level vulnerability metrics to identify the sectors that are most vulnerable to various flow manipulations and compare them to case-study simulations of the various attacks. The results suggest that Route Denial of Service attacks have a significant impact on the target sector and lead to the largest degradation to the overall air traffic flows. Furthermore, the impact of Sector Denial of Service attack impacts are primarily confined to the target sector, whereas Route Selection Tampering impacts are mostly confined to certain aircraft. © 2020 ACM.</t>
  </si>
  <si>
    <t xml:space="preserve">R0841</t>
  </si>
  <si>
    <t xml:space="preserve">Detection and Defense from False Data Injection Attacks in Aviation Cyber-Physical Systems Using Artificial Immune Systems</t>
  </si>
  <si>
    <t xml:space="preserve">Proceedings - 2020 International Conference on Computational Science and Computational Intelligence, CSCI 2020</t>
  </si>
  <si>
    <t xml:space="preserve">10.1109/CSCI51800.2020.00019</t>
  </si>
  <si>
    <t xml:space="preserve">In recent years, there has been a rapid expansion in the development of Cyber-Physical Systems (CPS), which allows the physical components and the cyber components of a system to be fully integrated and interacted with each other and with the physical world. The commercial aviation industry is shifting towards Aviation Cyber-Physical Systems (ACPS) framework because it allows real-time monitoring and diagnostics, real-time data analytics, and the use of Artificial Intelligent technologies in decision making. Inevitably, ACPS is not immune to cyber-attacks due to integrating a network system, which introduces serious security threats. False Data Injection (FDI) attack is widely used against CPS. It is a serious threat to the integrity of the connected physical components. In this paper, we propose a novel security algorithm for detecting FDI attacks in the communication network of ACPS using Artificial Immune System (AIS). The algorithm was developed based on the negative selection approach. The negative selection algorithm is used to detect malicious network packets and drop them. Then, a Nonlinear Autoregressive Exogenous (NARX) network is used to predict packets that dropped by the negative selection algorithm. The developed algorithm was implemented and tested on a networked control system of commercial aircraft as an Aviation Cyber-physical system.  © 2020 IEEE.</t>
  </si>
  <si>
    <t xml:space="preserve">R0774</t>
  </si>
  <si>
    <t xml:space="preserve">Reji P.; Natarajan K.; K R S.</t>
  </si>
  <si>
    <t xml:space="preserve">Secured Wireless Network for Aircraft Intra Communication</t>
  </si>
  <si>
    <t xml:space="preserve">Proceedings of CONECCT 2020 - 6th IEEE International Conference on Electronics, Computing and Communication Technologies</t>
  </si>
  <si>
    <t xml:space="preserve">10.1109/CONECCT50063.2020.9198688</t>
  </si>
  <si>
    <t xml:space="preserve">Aviation industry has been looking at wireless technology as an option to establish data network for avionics to reduce the weight and in turn reduce operational and maintenance costs. However, introducing the wireless network in an aircraft brings to the front, the issue of security. Intra communication using wireless can make aircraft systems vulnerable to manipulations by an adversary. Aviation regulatory bodies have already brought out that network security should be identified and needs to be addressed. Security issues in an Avionics Wireless Network (AWN) and a modified Advanced Encryption Standard (AES) algorithm, based on time synchronisation, is brought out in the paper.  © 2020 IEEE.</t>
  </si>
  <si>
    <t xml:space="preserve">R0861</t>
  </si>
  <si>
    <t xml:space="preserve">Shaikh F.; Rahouti M.; Ghani N.; Xiong K.; Bou-Harb E.; Haque J.</t>
  </si>
  <si>
    <t xml:space="preserve">A Review of Recent Advances and Security Challenges in Emerging E-Enabled Aircraft Systems</t>
  </si>
  <si>
    <t xml:space="preserve">10.1109/ACCESS.2019.2916617</t>
  </si>
  <si>
    <t xml:space="preserve">The continuing increase in air traffic, along with airline operators gradually adopting IP-based network technologies, has led to the transformational concept of e-Enabled or 'connected' aircraft. This new framework envisions a single aeronautical communications architecture connecting across the entire spectrum of the aviation sector. However, due to the complex and multidimensional nature of aviation operations, no single technology can achieve the above goal. Instead, building an integrated system which uses multiple communication protocols and architectures, as well as cloud computing and big data analytics, is the most promising way forward. Hence this paper surveys the latest trends in emerging network communication systems for commercial aviation. A range of cyber-threats is then identified for the e-Enabled aircraft paradigm, followed by discussions on related solution methodologies. Note that the topics related to military aviation security are not considered here. © 2013 IEEE.</t>
  </si>
  <si>
    <t xml:space="preserve">R0525</t>
  </si>
  <si>
    <t xml:space="preserve">Bogoda L.; Mo J.; Bil C.</t>
  </si>
  <si>
    <t xml:space="preserve">A Systems Engineering Approach to Appraise Cybersecurity Risks of CNS/ATM and Avionics Systems</t>
  </si>
  <si>
    <t xml:space="preserve">10.1109/ICNSURV.2019.8735376</t>
  </si>
  <si>
    <t xml:space="preserve">The aggregate use of complex cyber-physical systems, incorporation of artificial intelligence and autonomy in flight operations has reconceptualised the aerospace cybersecurity paradigm to a new era. Cybersecurity is about the prevention or mitigation of malicious acts undertaken to either compromise systems directly or access valuable information that could be subject to criminal misuse. The cyber-security of Communication, Navigation, and surveillance / Air Traffic Management (CNS/ATM) systems is aimed at controlling the effects of such threats and enhancing the safety of flying passengers. Besides, the cybers resilience of state-of-the-art CNS/ATM and avionics systems have been impacted by convoluted risk management issues. The security of legacy aviation and airport infrastructure has been curtailed owing to their annexure to public networks, which constitute a significant risk to the aviation industry and the general public as a whole.The existing control mechanisms in place, with the aim of assuring Confidentiality, Integrity, and Availability (CIA) of information, have a multitude of deficiencies in deciding the extent of vulnerability of systems, the severity of impact and subsequently overall risk rating. Weaknesses in some of the security controls which are intended to mitigate the impact of cyber-attacks also contribute towards this issue. A risk-based system engineering solution is envisioned in managing today's cyber-physical systems which may comprise of interwound Systems of Systems (SoS). This paper aims to investigate threats to aviation assets, vulnerabilities of aviation systems and to adopt a holistic approach to mitigate possible risks. The article also recommends a novel methodology to manage risks by enhancing the consistency and accuracy of risk attributes of CNS/ATM systems, avionics and airport systems. © 2019 IEEE.</t>
  </si>
  <si>
    <t xml:space="preserve">R0728</t>
  </si>
  <si>
    <t xml:space="preserve">Lykou G.; Iakovakis G.; Gritzalis D.</t>
  </si>
  <si>
    <t xml:space="preserve">Aviation cybersecurity and cyber-resilience: Assessing risk in air traffic management</t>
  </si>
  <si>
    <t xml:space="preserve">10.1007/978-3-030-00024-0_13</t>
  </si>
  <si>
    <t xml:space="preserve">Civil aviation is the safest transport mode in the world and probably also the most interconnected system of information and communication technology. Cyber-attacks are increasing in quantity and persistence, so the consequences of a successful malicious cyber-attack on civil aviation operations could be severe nowadays. New technologies, extension of connectivity and their integration in the aviation industry, especially in the field of Air Traffic Management (ATM), increase the risk to these critical assets. This chapter examines cyber security challenges and interoperability in ATM systems. We propose an extended threat model for analyzing possible targets and risks involved. We also introduce and analyze cyber resilience aspects in the aviation context and the need for holistic strategy of defense, prevention and response. Under the resilience umbrella, all actors should work on collaborative, risk-based framework to address security threats and increase the aviation systems resilience against future attacks. © Springer Nature Switzerland AG 2019.</t>
  </si>
  <si>
    <t xml:space="preserve">R0506</t>
  </si>
  <si>
    <t xml:space="preserve">Arora A.; Yadav S.K.</t>
  </si>
  <si>
    <t xml:space="preserve">BATMAN: Blockchain-Based Aircraft Transmission Mobile Ad Hoc Network</t>
  </si>
  <si>
    <t xml:space="preserve">10.1007/978-981-13-1217-5_23</t>
  </si>
  <si>
    <t xml:space="preserve">Automatic Dependent Surveillance–Broadcast (ADS-B) systems is a recent aviation technology, which has established its standing in the domain of communication between aircrafts and has almost replaced the conventional radar system for transmission of messages. Various loopholes related to privacy and security has been found in ADS-B, by researchers such as message broadcast tampering. In this paper, we propose a methodology based on BATMAN algorithm, which secures the communication between aircrafts and ground stations. This framework for authentication is a novel network topology based on a decentralized blockchain. The authentication is done using a three-way handshake between On-Air Unit (OAU) and Ground Station (GS). The proposed technology involves a group formation of authenticated mobile nodes for communication using the distributed public ledger and further utilizing its security features. The impact of BATMAN algorithm is that it further secures AANET (Aircraft Ad-hoc Network) for ADS-B system. © 2019, Springer Nature Singapore Pte Ltd.</t>
  </si>
  <si>
    <t xml:space="preserve">R0776</t>
  </si>
  <si>
    <t xml:space="preserve">Sathaye H.; Schepers D.; Ranganathan A.; Noubir G.</t>
  </si>
  <si>
    <t xml:space="preserve">Demo: Wireless attacks on aircraft landing systems</t>
  </si>
  <si>
    <t xml:space="preserve">WiSec 2019 - Proceedings of the 2019 Conference on Security and Privacy in Wireless and Mobile Networks</t>
  </si>
  <si>
    <t xml:space="preserve">10.1145/3317549.3326298</t>
  </si>
  <si>
    <t xml:space="preserve">Modern aircraft heavily rely on several wireless technologies for communications, control, and navigation. In this work, we demonstrate the vulnerability of aircraft instrument landing systems to wireless attacks. We show that it is possible to fully and in finegrain control the course deviation indicator, as displayed by the ILS receiver, in real-time, and demonstrate it on aviation-grade ILS receivers. We develop a tightly-controlled closed-loop ILS spoofer that autonomously adjusts the adversary's transmitted signals based on the aircraft's GPS location to cause an undetected off-runway landing. We demonstrate the integrated attack on an FAA certified flight-simulator (X-Plane)'s AI-based auto-land feature and show success rate with offset touchdowns of 18 meters to over 50 meters. © 2019 Copyright held by the owner/author(s).</t>
  </si>
  <si>
    <t xml:space="preserve">R0971</t>
  </si>
  <si>
    <t xml:space="preserve">Means of Compliance and Relation between Security Standards in Airworthiness Engineering</t>
  </si>
  <si>
    <t xml:space="preserve">10.1109/ICNSURV.2019.8735318</t>
  </si>
  <si>
    <t xml:space="preserve">In the current networked society, there is a critical need to secure all safety-critical physical and cyber systems and their communications. This security assurance process must be done in coordination with the safety assurance process, such that the required safety levels are not affected. Aviation and aerospace domains security standards are the guidelines industry, and research enterprises must follow to ensure security in the skies.This proposed study builds an in-depth framework of the relation of the current airworthiness security standards, as well as suggested guidelines to integrate the framework with airworthiness safety standards for concurrent security and safety engineering. The concurrent security and safety assurance processes are used as inputs to the aircraft design and development process, and as a means for aircraft implementation verification, and validation and certification processes. © 2019 IEEE.</t>
  </si>
  <si>
    <t xml:space="preserve">R0769</t>
  </si>
  <si>
    <t xml:space="preserve">Zhou J.-X.; Yan J.-H.</t>
  </si>
  <si>
    <t xml:space="preserve">Secure and Efficient Identity-based Batch Verification Signature Scheme for ADS-B System</t>
  </si>
  <si>
    <t xml:space="preserve">KSII Transactions on Internet and Information Systems</t>
  </si>
  <si>
    <t xml:space="preserve">10.3837/tiis.2019.12.024</t>
  </si>
  <si>
    <t xml:space="preserve">As a foundation of next-generation air transportation systems, automatic dependent surveillance–broadcast (ADS-B) helps pilots and air traffic controllers create a safer and more efficient national airspace system. Owing to the open communication environment, it is easy to insert fake aircraft into the system via spoofing or the insertion of false messages. Efforts have thus been made in academic research and practice in the aviation industry to ensure the security of transmission of messages of the ADS-B system. An identity-based batch verification (IBV) scheme was recently proposed to enhance the security and efficiency of the ADS-B system, but current IBV schemes are often too resource intensive because of the application of complex hash-to-point operations or bilinear pairing operations. In this paper, we propose a lightweight IBV signature scheme for the ADS-B system that is robust against adaptive chosen message attacks in the random oracle model, and ensures the security of batch message verification and against the replaying attack. The proposed IBV scheme needs only a small and constant number of point multiplication and point addition computations instead of hash-to-point or pairing operations. Detailed performance analyses were conducted to show that the proposed IBV scheme has clear advantages over prevalent schemes in terms of computational cost and transmission overhead. Copyright © 2019 KSII</t>
  </si>
  <si>
    <t xml:space="preserve">R0765</t>
  </si>
  <si>
    <t xml:space="preserve">Security Consideration for the IPV6 Based Air to Ground Safety Service Communication</t>
  </si>
  <si>
    <t xml:space="preserve">10.1109/ICNSURV.2019.8735356</t>
  </si>
  <si>
    <t xml:space="preserve">Currently European Airspace is using the ATN/OSI and ACARS protocols for the air to ground communication and the US is using ACARS protocol. There is a big movement in the US national airspace and European airspace to move the airplane air to ground safety service communication to the Internet based protocol, using Internet Protocol Version 6 (IPv6) from exiting ACARS and ATN/OSI. When the airplane moves to the IPv6 based air to ground communication, the airplane is essentially a mobile node equipped with multiple air to ground radio technology interfaces with several network interfaces. These network interfaces have different access technologies, both terrestrial and satellite communication (VHF, HFR, SATCOM etc.). Different requirements of different applications can result in different preferences of the interface or air to ground communication means that expose different attack surfaces, vulnerabilities and security issues. Network connections should be placed in the best possible interface and the security related to the various access networks should be considered to protect both data and the control of the plane traffic. Due to multiple technologies and multiple access network technologies, the Aviation safety service IPv6 air to ground network needs to address multiple security risks.In this paper we present an overview of security issues and explore the challenges and motivations of security measures for the multiple access networks to protect the safety service IPv6 air to ground communication. This review is critical because securing future air to ground communication for the safety service is a difficult problem. It can be an obstacle to aviation IPv6 deployment in the mission-critical environment. We also present the architectural goals and security measures that should be considered while deploying the IPv6 for the safety service air to ground communication. © 2019 IEEE.</t>
  </si>
  <si>
    <t xml:space="preserve">R0615</t>
  </si>
  <si>
    <t xml:space="preserve">Threats analysis of communications and information system in the national airspace system</t>
  </si>
  <si>
    <t xml:space="preserve">AIAA Aviation 2019 Forum</t>
  </si>
  <si>
    <t xml:space="preserve">The Federal Aviation Administration (FAA) provides telecommunication infrastructure and information management system to facilitate the operation of the National Airspace System (NAS). The system includes communications, information, and networks such as voice and data communications products and services required to support day-to-day FAA operations. Same as other communication systems and information platform, the FAA Telecommunications Infrastructure (FTI) and System Wide Information Management (SWIM) have security vulnerabilities that can lead to attack to the NAS. In this paper, we present the communications in different layers of NAS and investigate the security mechanism they use in FTI and SWIM. Finally, we analyze the threats of air/ground communications and show how an attacker can use different parts of NAS to apply an attack. © 2019, American Institute of Aeronautics and Astronautics Inc, AIAA. All rights reserved.</t>
  </si>
  <si>
    <t xml:space="preserve">R0838</t>
  </si>
  <si>
    <t xml:space="preserve">Maurer N.; Schmitt C.</t>
  </si>
  <si>
    <t xml:space="preserve">Towards successful realization of the ldacs cybersecurity architecture: An updated datalink security threat-and risk analysis</t>
  </si>
  <si>
    <t xml:space="preserve">10.1109/ICNSURV.2019.8735139</t>
  </si>
  <si>
    <t xml:space="preserve">LDACS; CPDLC / ACARS / VDL2 / ATN; SATCOM</t>
  </si>
  <si>
    <t xml:space="preserve">Currently Communication Navigation and Surveillance (CNS) in civil aviation are undergoing huge changes in the framework of the European SESAR and the US NextGEN research initiatives. One goal is to develop the Future Communication Infrastructure (FCI) for civil aviation, consisting of AeroMACs for airport communications, SatCOM for remote domains, and LDACS for long-range wireless digital communications. The trend towards digitalization is supposed to solve the problems of capacity shortage, frequency saturation and automated data processing. Due to the digitalization process in communication itself and especially in critical infrastructure a strong request for cybersecurity support was raised. Therefore, a threat-and-risk analysis for LDACS was performed resulting in a first cybersecurity architecture specification draft. This paper goes one step further, presenting a suitable set of algorithms and protocols for security support for LDACS. The set is evaluated performance and security wise to match the cybersecurity architecture specification identified in earlier work. © 2019 IEEE.</t>
  </si>
  <si>
    <t xml:space="preserve">R0678</t>
  </si>
  <si>
    <t xml:space="preserve">Wireless attacks on aircraft instrument landing systems</t>
  </si>
  <si>
    <t xml:space="preserve">Proceedings of the 28th USENIX Security Symposium</t>
  </si>
  <si>
    <t xml:space="preserve">Modern aircraft heavily rely on several wireless technologies for communications, control, and navigation. Researchers demonstrated vulnerabilities in many aviation systems. However, the resilience of the aircraft landing systems to adversarial wireless attacks have not yet been studied in the open literature, despite their criticality and the increasing availability of low-cost software-defined radio (SDR) platforms. In this paper, we investigate the vulnerability of aircraft instrument landing systems (ILS) to wireless attacks. We show the feasibility of spoofing ILS radio signals using commercially-available SDR, causing last-minute go around decisions, and even missing the landing zone in low-visibility scenarios. We demonstrate on aviation-grade ILS receivers that it is possible to fully and in fine-grain control the course deviation indicator as displayed by the ILS receiver, in real-time. We analyze the potential of both an overshadowing attack and a lower-power single-tone attack. In order to evaluate the complete attack, we develop a tightly-controlled closed-loop ILS spoofer that adjusts the adversary's transmitted signals as a function of the aircraft GPS location, maintaining power and deviation consistent with the adversary's target position, causing an undetected off-runway landing. We systematically evaluate the performance of the attack against an FAA certified flight-simulator (X-Plane)'s AI-based autoland feature and demonstrate systematic success rate with offset touchdowns of 18 meters to over 50 meters. © 2019 by The USENIX Association. All rights reserved.</t>
  </si>
  <si>
    <t xml:space="preserve">R1267</t>
  </si>
  <si>
    <t xml:space="preserve">Niraula M.; Graefe J.; Dlouhy R.; Layton M.; Stevenson M.</t>
  </si>
  <si>
    <t xml:space="preserve">ATN/IPS security approach: Two-way mutual authentication, data integrity and privacy</t>
  </si>
  <si>
    <t xml:space="preserve">ICNS 2018 - Integrated Communications, Navigation, Surveillance Conference</t>
  </si>
  <si>
    <t xml:space="preserve">10.1109/ICNSURV.2018.8384829</t>
  </si>
  <si>
    <t xml:space="preserve">Currently there are various industry and regulatory activities (Airlines Electronic Engineering Committee Internet Protocol Suites (IPS) Working Group, Radio Technical Commission for Aeronautics SC-223, EUROCAE Working Group 108, and ICAO Working Group I) underway to develop the future aviation safety service Aeronautical Telecommunication Network (ATN) based on Internet Protocol Suite (IPS) IPv6, which is the selected protocol for air/ground communication in support of Air Traffic Service (ATS) safety service applications. This will provide IPv6 as an alternative to the traditional ACARS and ATN/OSI protocols for the air/ground aviation safety services network, but it also exposes the aviation safety services data communication to various cyber security threats. Data communication security plays an important role in the successful development of ATN/IPS as a next generation aviation safety service network that support ATS, ATC, AOC messages over various air/ground radio links. Security countermeasures help ensure the confidentiality, availability, and integrity of ATN/IPS systems by preventing or mitigating harm from cyber security attacks. This paper introduces the motivation and context for ATN/IPS security in terms of the aviation safety service data communication network. It describes the first fully implemented two-way authentication security, data integrity scheme for the aircraft air/ground safety service communications based on existing internet standards, specifically the Datagram Transport Layer Security (DTLS) protocol. The security approach uses Elliptical Curve Cryptography (ECC), which is the most efficient, matured, and widely accepted public key cryptography algorithm. This paper presents the DTLS implementation in the context of an air/ground system architecture and overall feasibility and the scheme's feasibility (low overhead and high interoperability). This is further demonstrated through extensive evaluation of a prototype using an existing avionics hardware platform and an existing ground system. © 2018 IEEE.</t>
  </si>
  <si>
    <t xml:space="preserve">R1040</t>
  </si>
  <si>
    <t xml:space="preserve">Zang X.; Li B.; Zhu W.</t>
  </si>
  <si>
    <t xml:space="preserve">Aviation Flight Security Assurance Evaluation System Based on Panboolean Algebra</t>
  </si>
  <si>
    <t xml:space="preserve">Proceedings of 2018 IEEE 3rd Advanced Information Technology, Electronic and Automation Control Conference, IAEAC 2018</t>
  </si>
  <si>
    <t xml:space="preserve">10.1109/IAEAC.2018.8577746</t>
  </si>
  <si>
    <t xml:space="preserve">The quality of aviation security communications directly affects the quality of flight and even the safety of flight. An assessment of the communications security of each flight provides a powerful reference for follow-up support. According to the reality of aviation security protection, taking the protection of communication in a flight schedule as the research object, the main factors affecting the protection are fully considered, A system evaluation mathematics evaluation model was established by means of the Pan-Boolean algebra method with more intuitive laws in the principle of automatic control. The example shows that the evaluation made by the method of the Pan-Boolean algebra can provide the commander with objective and fair data evaluation, and it also provides data support for the next step of communication security personnel, so as to better ensure the foundation of flight. © 2018 IEEE.</t>
  </si>
  <si>
    <t xml:space="preserve">R1215</t>
  </si>
  <si>
    <t xml:space="preserve">Gurtov A.; Polishchuk T.; Wernberg M.</t>
  </si>
  <si>
    <t xml:space="preserve">Controller–pilot data link communication security</t>
  </si>
  <si>
    <t xml:space="preserve">Sensors (Switzerland)</t>
  </si>
  <si>
    <t xml:space="preserve">10.3390/s18051636</t>
  </si>
  <si>
    <t xml:space="preserve">The increased utilization of the new types of cockpit communications, including controller–pilot data link communications (CPDLC), puts the airplane at higher risk of hacking or interference than ever before. We review the technological characteristics and properties of the CPDLC and construct the corresponding threat model. Based on the limitations imposed by the system parameters, we propose several solutions for the improved security of the data messaging communication used in air traffic management (ATM). We discuss the applicability of elliptical curve cryptography (ECC), protected aircraft communications addressing and reporting systems (PACARs) and the Host Identity Protocol (HIP) as possible countermeasures to the identified security threats. In addition, we consider identity-defined networking (IDN) as an example of a genuine security solution which implies global changes in the whole air traffic communication system. © 2018 by the authors. Licensee MDPI, Basel, Switzerland.</t>
  </si>
  <si>
    <t xml:space="preserve">R1043</t>
  </si>
  <si>
    <t xml:space="preserve">Cybersecurity for global aviation: A trust framework enabling global secure aviation interoperability</t>
  </si>
  <si>
    <t xml:space="preserve">10.1109/ICNSURV.2018.8385007</t>
  </si>
  <si>
    <t xml:space="preserve">• ICAO is uniquely positioned to enable Cyber Security 'Trust' between members and member systems world wide • The ICAO 'Trust' Bridge architecture is the most flexible, scalable and secure solution without impacting existing region's Cyber Solutions • Certificate Validation Server will keep the Air to Ground communication overhead to a minimum • No region is left behind. © 2018 IEEE.</t>
  </si>
  <si>
    <t xml:space="preserve">R1320</t>
  </si>
  <si>
    <t xml:space="preserve">Bresteau C.; Guigui S.; Berthier P.; Fernandez J.M.</t>
  </si>
  <si>
    <t xml:space="preserve">On the security of aeronautical datalink communications: Problems and solutions</t>
  </si>
  <si>
    <t xml:space="preserve">10.1109/ICNSURV.2018.8384830</t>
  </si>
  <si>
    <t xml:space="preserve">Numerous protocols allow modern aircraft to communicate with ground entities over wireless networks, including the so-called Datalink digital communications protocols such as ACARS and FANS-1/A. Among other benefits, they greatly enhance automation and allow communication between embedded avionics and aircraft components with ground infrastructure. Unfortunately, none of these protocols incorporate any form of message authentication or confidentiality. To date, no security counter-measures have been proposed to address this with the exception of the ARINC 823 ACARS Message Security (AMS) standard currently employed by the US Air Force to communicate with the Federal Aviation Authority (FAA) air traffic controllers. In this paper, we present a threat analysis of the security flaws in the context of modern usage Datalink communications in aviation. To do so, we first describe how Software Defined Radios (SDR) have made easy to mount impersonation and message spoofing attack on both ACARS and FANS1/A datalink protocols. We then evaluate the potential impact of such attacks on both aircraft safety and air traffic management. To lend credence to our analysis, we describe a proof-of-concept implementation of this attack with a Universal Software Radio Project (USRP) SDR. Finally, we studied the viability of widely adopting AMS as an authentication solution by analyzing its real-world impact in terms of frequency congestion. We show that the widespread adoption of AMS, or an equivalent solution, by all commercial aircrafts would be sustainable. © 2018 IEEE.</t>
  </si>
  <si>
    <t xml:space="preserve">R1087</t>
  </si>
  <si>
    <t xml:space="preserve">Berthier P.; Bresteau C.; Fernandez J.</t>
  </si>
  <si>
    <t xml:space="preserve">On the security of aircraft communication networks</t>
  </si>
  <si>
    <t xml:space="preserve">Lecture Notes in Computer Science (including subseries Lecture Notes in Artificial Intelligence and Lecture Notes in Bioinformatics)</t>
  </si>
  <si>
    <t xml:space="preserve">10.1007/978-3-319-99843-5_25</t>
  </si>
  <si>
    <t xml:space="preserve">Modern aircraft now rely on complex navigation systems and communication networks which must be highly reliable in order to allow air travel to remain one of the safest modes of transportation. This article presents a high level description of those systems and introduces the different security threats which could affect them. © Springer Nature Switzerland AG 2018.</t>
  </si>
  <si>
    <t xml:space="preserve">R1305</t>
  </si>
  <si>
    <t xml:space="preserve">Lewis B.R.; Haimes Y.Y.</t>
  </si>
  <si>
    <t xml:space="preserve">Risk modeling of communications, navigation, and surveillance complex systems of systems for future aviation</t>
  </si>
  <si>
    <t xml:space="preserve">Systems Engineering</t>
  </si>
  <si>
    <t xml:space="preserve">10.1002/sys.21423</t>
  </si>
  <si>
    <t xml:space="preserve">The planned integration of Communications (C), Navigation (N), and Surveillance (S) by the U.S. Federal Aviation Administration (FAA) would convert their currently safely coordinated operations into a single vulnerable interdependent and interconnected CNS complex systems of systems (Complex SoS). We model the ensuing vulnerability of planned Complex SoS by tracing specific new interdependencies and interconnections manifested by their shared/common (i) States (variables), (ii) Decisions, (iii) Decision makers, and (iv) Resources (cyber-physical) among the three C, N, and S systems?. Other contributions stem from our exploiting the use of fault trees (without the reliance on reliability data). Exploiting fault trees enabled us to quantify the accrued knowledge of interdependencies and interconnectedness tabulated in Tables 1–4 in terms of AND Gates (systems connected in Parallel), and OR Gates (systems connected in Series); and to discover dangerous shared C, N, and S systems on the critical path. Namely, if all systems (subsystems) in the minimal cut set fail, then the entire CNS Complex SoS would fail. Significantly, this modeling approach alerted the FAA on “what not to do” by identifying subsystems early in the planned integration of C, N, and S that would result in a single catastrophic failure of the planned CNS Complex SoS. © 2018 Wiley Periodicals, Inc.</t>
  </si>
  <si>
    <t xml:space="preserve">R1311</t>
  </si>
  <si>
    <t xml:space="preserve">Harison E.; Zaidenberg N.</t>
  </si>
  <si>
    <t xml:space="preserve">Survey of cyber threats in air traffic control and aircraft communications systems</t>
  </si>
  <si>
    <t xml:space="preserve">Intelligent Systems, Control and Automation: Science and Engineering</t>
  </si>
  <si>
    <t xml:space="preserve">10.1007/978-3-319-75307-2_12</t>
  </si>
  <si>
    <t xml:space="preserve">Air traffic control systems based on the ADS-B standard have been widely adopted in civil aviation to the point that they are now considered the de facto standard. ADS-B provides major benefits to airports and airlines by increasing the safety of air traffic management and control and allowing more flights to travel near busy airports. However, the ADS-B technology lacks sufficient security measures. The ADS-B system is vulnerable and exposed to cyberattacks. We survey the potential known threats and attacks against ADS-B and assess the potential cybersecurity threats to air traffic management and control. The widespread use of ADS-B and the lack of security features in it, i.e., all the ADS-B messages are unauthenticated and unencrypted!, makes this necessary. As we demonstrate in the survey, ADS-B’s lack of security features allows injection of false flight data, as well as jamming the wireless communications between airplanes and control towers and preventing the detection of commercial aircrafts by ADS-B ground stations, control towers, and other aircrafts. © 2018, Springer International Publishing AG, part of Springer Nature.</t>
  </si>
  <si>
    <t xml:space="preserve">R1001</t>
  </si>
  <si>
    <t xml:space="preserve">Strohmeier M.; Smith M.; Moser D.; Schäfer M.; Lenders V.; Martinovic I.</t>
  </si>
  <si>
    <t xml:space="preserve">Utilizing air traffic communications for OSINT on state and government aircraft</t>
  </si>
  <si>
    <t xml:space="preserve">10.23919/CYCON.2018.8405023</t>
  </si>
  <si>
    <t xml:space="preserve">In recent times, we have witnessed a trend in which communications data is increasingly collected and made open source by the public. A prominent example is the tracking of aircraft movements using unencrypted air traffic control (ATC) communication. This paper studies the implications of such new open source aircraft datasets on the operational privacy of military and government actors. We use publicly available aircraft metadata in conjunction with unfiltered ATC communication gathered from the collaborative sensor network OpenSky. We show that using these datasets, it is possible to collect, process and analyze large numbers of movements in an automated fashion, providing insights into potentially sensitive operations. We use movement data collected from more than 580 identified aircraft used by 100 different governments and over 6,000 military aircraft to identify operations and relationships in the real world. We also provide case studies which show that potentially sensitive information appears in these open datasets in the clear from both military and government-operated aircraft, despite attempts at encrypting some of this information. Considering these privacy violations, we establish which countries' militaries and governments take active steps in blocking the movements of their sensitive aircraft from online tracking websites. We find that overall more than 80% of all military aircraft and 60% of all government aircraft are filtered for reasons of privacy, with significant variation between different countries. Finally, we study the main mitigation methods available to state aircraft operators and find that all currently existing options have significant downsides, which inhibit either their usability or their effectiveness. © 2018 NATO CCD COE.</t>
  </si>
  <si>
    <t xml:space="preserve">R1355</t>
  </si>
  <si>
    <t xml:space="preserve">Yang A.; Tan X.; Baek J.; Wong D.S.</t>
  </si>
  <si>
    <t xml:space="preserve">A new ADS-B authentication framework based on efficient hierarchical identity-based signature with batch verification</t>
  </si>
  <si>
    <t xml:space="preserve">IEEE Transactions on Services Computing</t>
  </si>
  <si>
    <t xml:space="preserve">10.1109/TSC.2015.2459709</t>
  </si>
  <si>
    <t xml:space="preserve">Automatic dependent surveillance-broadcast (ADS-B) has become a crucial part of next generation air traffic surveillance technology and will be mandatorily deployed for most of the airspaces worldwide by 2020. Each aircraft equipped with an ADS-B device keeps broadcasting plaintext messages to other aircraft and the ground station controllers once or twice per second. The lack of security measures in ADS-B systems makes it susceptible to different attacks. Among the various security issues, we investigate the integrity and authenticity of ADS-B messages. We propose a new framework for providing ADS-B with authentication based on three-level hierarchical identity-based signature (HIBS) with batch verification. Previous signature-based ADS-B authentication protocols focused on how to generate signatures efficiently, while our schemes can also significantly reduce the verification cost, which is critical to ADS-B systems, since at any time an ADS-B receiver may receive lots of signatures. We design two concrete schemes. The basic scheme supports partial batch verification and the extended scheme provides full batch verification. We give a formal security proof for the extended scheme. Experiment results show that our schemes with batch verification are tremendously more efficient in batch verifying n signatures than verifying n signatures independently. For example, the running time of verifying 100 signatures is 502 and 484 ms for the basic scheme and the extended scheme respectively, while the time is 2500 ms if verifying the signatures independently. © 2015 IEEE.</t>
  </si>
  <si>
    <t xml:space="preserve">R1349</t>
  </si>
  <si>
    <t xml:space="preserve">Zhang R.; Liu G.; Liu J.; Nees J.P.</t>
  </si>
  <si>
    <t xml:space="preserve">Analysis of Message Attacks in Aviation Data-Link Communication</t>
  </si>
  <si>
    <t xml:space="preserve">10.1109/ACCESS.2017.2767059</t>
  </si>
  <si>
    <t xml:space="preserve">In aviation communication system, VHF data-link message is used to transmit flight status, airport control instructions as well as the other sensitive information. Radio-transmitted information can be intercepted or tampered with, leading to the disclosure of private data, illegal control, and hijacking. This paper analyzed three attack routes of monitoring, entity camouflage, and man-in-the-middle attack. Man-in-the-middle attack was also able to work in next generation aviation communication networks. Two viable experiments were designed to test data-link message attacks including information leakage and the entity camouflage attack. These experiments may also be used as penetration tests of secure of aviation communication system. © 2013 IEEE.</t>
  </si>
  <si>
    <t xml:space="preserve">R1122</t>
  </si>
  <si>
    <t xml:space="preserve">Strohmeier M.; Smith M.; Schafer M.; Lenders V.; Martinovic I.</t>
  </si>
  <si>
    <t xml:space="preserve">Crowdsourcing security for wireless air traffic communications</t>
  </si>
  <si>
    <t xml:space="preserve">10.23919/CYCON.2017.8240336</t>
  </si>
  <si>
    <t xml:space="preserve">Protecting the security of the cyber-physical systems that make up the world's critical infrastructures has been a recent hotly debated topic. Legacy wireless communication infrastructure is often an impediment to quickly improving these crucial systems, as cryptographic solutions prove impossible to deploy. In this article, we propose the establishment of a separate verification layer for sensitive wireless data powered by crowdsourced sensors connected to the Internet and apply it to the aviation domain. We first validate the need for independent data verification in air traffic control networks, where all wireless communication is conducted in the clear and thus subject to manipulation. To counter this threat, we develop a comprehensive model for the verification of wireless communication based on massively distributed data collection and outline how it can be used to immediately improve the security of unprotected air traffic control networks. By combining several different methods based on the content and the physical characteristics of aircraft signals, our system is able to detect typical injection, modification and jamming attacks. We further develop a trust model to defend against potential insider threats based on compromised sensors. We illustrate our approach using the crowdsourced sensor network OpenSky, which captures large parts of civil air traffic communication around the globe. We analyse the security of our approach and show that it can quickly, cheaply, and effectively defend against even sophisticated attacks. © 2017 NATO CCD COE.</t>
  </si>
  <si>
    <t xml:space="preserve">R1286</t>
  </si>
  <si>
    <t xml:space="preserve">Baek J.; Hableel E.; Byon Y.-J.; Wong D.S.; Jang K.; Yeo H.</t>
  </si>
  <si>
    <t xml:space="preserve">How to Protect ADS-B: Confidentiality Framework and Efficient Realization Based on Staged Identity-Based Encryption</t>
  </si>
  <si>
    <t xml:space="preserve">IEEE Transactions on Intelligent Transportation Systems</t>
  </si>
  <si>
    <t xml:space="preserve">10.1109/TITS.2016.2586301</t>
  </si>
  <si>
    <t xml:space="preserve">ADS-B / SSR / Mode S / MLAT; On-board avionics networks</t>
  </si>
  <si>
    <t xml:space="preserve">Automatic Dependent Surveillance-Broadcast (ADS-B) is one of the key technologies for future 'e-Enabled' aircrafts. ADS-B uses avionics in the e-Enabled aircrafts to broadcast essential flight data such as call sign, altitude, heading, and other extra positioning information. On the one hand, ADS-B brings significant benefits to the aviation industry, but, on the other hand, it could pose security concerns as channels between ground controllers and aircrafts for the ADS-B communication are not secured, and ADS-B messages could be captured by random individuals who own ADS-B receivers. In certain situations, ADS-B messages contain sensitive information, particularly when communications occur among mission-critical civil airplanes. These messages need to be protected from any interruption and eavesdropping. The challenge here is to construct an encryption scheme that is fast enough for very frequent encryption and that is flexible enough for effective key management. In this paper, we propose a Staged Identity-Based Encryption (SIBE) scheme, which modifies Boneh and Franklin's original IBE scheme to address those challenges, that is, to construct an efficient and functional encryption scheme for ADS-B system. Based on the proposed SIBE scheme, we provide a confidentiality framework for future e-Enabled aircraft with ADS-B capability. © 2000-2011 IEEE.</t>
  </si>
  <si>
    <t xml:space="preserve">R1074</t>
  </si>
  <si>
    <t xml:space="preserve">Strohmeier M.; Schäfer M.; Pinheiro R.; Lenders V.; Martinovic I.</t>
  </si>
  <si>
    <t xml:space="preserve">On Perception and Reality in Wireless Air Traffic Communication Security</t>
  </si>
  <si>
    <t xml:space="preserve">10.1109/TITS.2016.2612584</t>
  </si>
  <si>
    <t xml:space="preserve">More than a dozen wireless technologies are used by air traffic communication systems during different flight phases. From a conceptual perspective, all of them are insecure, as security was never part of their design. Recent contributions from academic and hacking communities have exploited this inherent vulnerability to demonstrate attacks on some of these technologies. However, not all of these contributions have resonated widely within aviation circles. At the same time, the security community lacks certain aviation domain knowledge, preventing aviation authorities from giving credence to their findings. In this survey, we aim to reconcile the view of the security community and the perspective of aviation professionals concerning the safety of air traffic communication technologies. To achieve this, we first provide a systematization of the applications of wireless technologies upon which civil aviation relies. Based on these applications, we comprehensively analyze vulnerabilities and existing attacks. We further survey the existing research on countermeasures and categorize it into approaches that are applicable in the short term and research of secure new technologies deployable in the long term. Since not all of the required aviation knowledge is codified in academic publications, we additionally examine the existing aviation standards and survey 242 international aviation experts. Besides their domain knowledge, we also analyze the awareness of members of the aviation community concerning the security of wireless systems and collect their expert opinions on the potential impact of concrete attack scenarios using these technologies. © 2000-2011 IEEE.</t>
  </si>
  <si>
    <t xml:space="preserve">R1129</t>
  </si>
  <si>
    <t xml:space="preserve">Rusko M.; Finke M.</t>
  </si>
  <si>
    <t xml:space="preserve">Using speech analysis in voice communication: A new approach to improve air traffic management security</t>
  </si>
  <si>
    <t xml:space="preserve">7th IEEE International Conference on Cognitive Infocommunications, CogInfoCom 2016 - Proceedings</t>
  </si>
  <si>
    <t xml:space="preserve">10.1109/CogInfoCom.2016.7804546</t>
  </si>
  <si>
    <t xml:space="preserve">This document describes the concept of an air traffic management security system and current validation activities. This system uses on one hand speech analysis techniques to verify the speaker authorization and measure the stress level within the air-ground voice communication between pilots and air traffic controllers; on the other hand it monitors the current air traffic situation. The purpose of this system is to close an existing security gap by using this multi-modal approach. First validation results are discussed at the end of this paper. © 2016 IEEE.</t>
  </si>
  <si>
    <t xml:space="preserve">R1265</t>
  </si>
  <si>
    <t xml:space="preserve">Casado E.; Rodríguez R.; Taboso P.; García J.</t>
  </si>
  <si>
    <t xml:space="preserve">Information security in future air traffic management systems</t>
  </si>
  <si>
    <t xml:space="preserve">Journal of Aerospace Information Systems</t>
  </si>
  <si>
    <t xml:space="preserve">10.2514/1.I010233</t>
  </si>
  <si>
    <t xml:space="preserve">The detection, identification, and evaluation of vulnerable areas mark the cornerstone of the analysis that is required to improve the security of both current and future air traffic management systems. These three functions evolved from the use of new technologies in the communication, navigation, and surveillance infrastructure and in the new generation of aircraft. This analysis includes the identification of the assets, which are understood to be things of value or things to protect from potential threats. In the future context, an infrastructure for information sharing will be deployed to enable robust data exchange among air traffic management stakeholders. Information will become a major asset to be protected. This paper aims at presenting the future air traffic management environment by analyzing the impact of intended attacks on flight and surveillance information and how the effects are propagated throughout the whole system. For illustration purposes, some potential scenarios are described in order to facilitate the identification of applicable countermeasures, which can ensure confidentiality, integrity, and accessibility of the data. Copyright © 2014 by The Boeing Company.</t>
  </si>
  <si>
    <t xml:space="preserve">R1229</t>
  </si>
  <si>
    <t xml:space="preserve">Cook E.</t>
  </si>
  <si>
    <t xml:space="preserve">ADS-B, friend or foe: ADS-B message authentication for NextGen aircraft</t>
  </si>
  <si>
    <t xml:space="preserve">Proceedings - 2015 IEEE 17th International Conference on High Performance Computing and Communications, 2015 IEEE 7th International Symposium on Cyberspace Safety and Security and 2015 IEEE 12th International Conference on Embedded Software and Systems, HPCC-CSS-ICESS 2015</t>
  </si>
  <si>
    <t xml:space="preserve">10.1109/HPCC-CSS-ICESS.2015.201</t>
  </si>
  <si>
    <t xml:space="preserve">Legacy air traffic control systems have become outdated and cannot keep up with the trending increase in airliner traffic. With the goal of modernizing the system from one of manual air traffic positioning through radar and radio communication to a network of e-enabled aircraft, the Federal Aviation Administration (FAA) is shifting to the use of Automatic Dependent Surveillance-Broadcast (ADS-B) as a surveillance technology with higher accuracy and less man-in-the-loop dependence. However, ADS-B in its current implementation lacks the security measures needed to provide authenticity and integrity, making it an easy target for spoofing attacks. This paper presents a message authentication scheme that (1) uses a Public Key Infrastructure (PKI) to verify all ADS-B signals are from FAA registered aircraft, (2) uses asymmetric cryptography to exchange a symmetric session key, and (3) uses this symmetric session key to validate data authenticity and integrity. The scheme description is followed by a discussion of its scalability and feasibility in context of the full aviation realm that it applies to, as well as the changes that would be needed in existing technologies. © 2015 IEEE.</t>
  </si>
  <si>
    <t xml:space="preserve">R1453</t>
  </si>
  <si>
    <t xml:space="preserve">Strohmeier M.; Lenders V.; Martinovic I.</t>
  </si>
  <si>
    <t xml:space="preserve">Lightweight location verification in air traffic surveillance networks</t>
  </si>
  <si>
    <t xml:space="preserve">CPSS 2015 - Proceedings of the 1st ACM Workshop on Cyber-Physical System Security, Part of ASIACCS 2015</t>
  </si>
  <si>
    <t xml:space="preserve">10.1145/2732198.2732202</t>
  </si>
  <si>
    <t xml:space="preserve">In this work, we develop a realistic threat model for attacks on modern air traffic communication networks and show that current state-of-the-art countermeasures such as multilater-ation are insuffcient. We propose two alternatives, a statistical location verification technique and a grid-based location estimation approach, to deal with the identified threats. We evaluate our proposals using real-world ight data and quantify their effectiveness in terms of aircraft location accuracy, resilience to message injection attacks, attack detection speed, and surveillance coverage. Our results show that the statistical verification approach can increase the effective air traffic surveillance coverage compared to multilateration by a factor of more than 100. Concerning our location estimation method, we find that the mean aircraft location accuracy can be increased by up to 41% in comparison with multilateration while also being able to pinpoint ground-based attackers with a mean error of 145m for air-based attackers. Finally, we demonstrate that our proposal is lightweight as it does not require any changes to the existing air traffic protocols and transmitters, and is easily implemented using only low-cost hardware. is held by the owner/author(s).</t>
  </si>
  <si>
    <t xml:space="preserve">R1077</t>
  </si>
  <si>
    <t xml:space="preserve">Ben Mahmoud M.S.; Pirovano A.; Larrieu N.</t>
  </si>
  <si>
    <t xml:space="preserve">Aeronautical communication transition from analog to digital data: A network security survey</t>
  </si>
  <si>
    <t xml:space="preserve">Computer Science Review</t>
  </si>
  <si>
    <t xml:space="preserve">10.1016/j.cosrev.2014.02.001</t>
  </si>
  <si>
    <t xml:space="preserve">The objective of this paper is to present a comprehensive survey of security challenges in aeronautical data communication networks. The civil aviation industry is currently going through an evolution of the air traffic management system. The aviation communication technologies are progressively shifting towards the use of digital data instead of analog voice for traffic control, airline business, and passenger onboard entertainment systems. This paper illustrates the cause-to-effect chain link starting from the modernization of the aeronautical communication systems and leading to the network security concern in the civil aviation. The general threats to air-ground communication are depicted and then categorized. The paper gives an overview of the civil aviation industry efforts for securing the future aeronautical data communications. The security mechanisms and protocols proposed for this purpose are discussed. Open research issues and challenges that have to be addressed in the security of current and future aeronautical data communication networks are presented in detail. The paper concludes with some improvement directions which can help to address those security issues. This survey can be used as a reference guide to first understand the factors that urge both the research community and the aviation industry to be concerned about network security in future aeronautical data communications. Also, it can be used as a first reading to have a global overview of network security issues, challenges and potential solutions in air-ground communication networks. © 2014 Elsevier Inc.</t>
  </si>
  <si>
    <t xml:space="preserve">R1332</t>
  </si>
  <si>
    <t xml:space="preserve">Feng C.-K.; Johnson T.; Jan S.-S.; Akos D.</t>
  </si>
  <si>
    <t xml:space="preserve">Assessment of camera capture for GPS RFI monitor</t>
  </si>
  <si>
    <t xml:space="preserve">Record - IEEE PLANS, Position Location and Navigation Symposium</t>
  </si>
  <si>
    <t xml:space="preserve">10.1109/PLANS.2014.6851502</t>
  </si>
  <si>
    <t xml:space="preserve">Today, the global positioning system (GPS) has become the enabling technology of the communication, navigation, surveillance, and air traffic management (CNS/ATM) systems. However, the transmitting power of a GPS signal is extremely low and thus vulnerable to intentional or unintentional radio frequency interference (RFI). Therefore, this paper proposes a terrestrial GPS RFI monitor to identify a possible RFI source to reduce the impact on aviation operation. Each GPS RFI monitor includes a software receiver with either an automatic gain control (AGC) based or a modified energy based RFI detector in order to detect possible interference. The GPS RFI monitor also includes a camera to record the corresponding video stream simultaneously with a RFI event. If a GPS RFI device is present, the RFI monitor and camera will be triggered. Once the detector has been triggered, the associated intermediate frequency (IF) data and video stream are saved. This makes it possible to identify the characteristics of the possible GPS RFI device and to determine the time as well as the impact of the RFI event. In this paper, the recorded GPS IF signal is first processed to draw the time-frequency figures to evaluate the characteristics of the possible GPS interference, and then processed by a software-defined radio (SDR) receiver to assess the impact on positioning. The results from previous studies are compared with several RFI detectors whose detection schemes are presented in this paper as well. © 2014 IEEE.</t>
  </si>
  <si>
    <t xml:space="preserve">R1419</t>
  </si>
  <si>
    <t xml:space="preserve">Muller K.; Sigl G.; Triquet B.; Paulitsch M.</t>
  </si>
  <si>
    <t xml:space="preserve">On MILS I/O sharing targeting avionic systems</t>
  </si>
  <si>
    <t xml:space="preserve">Proceedings - 2014 10th European Dependable Computing Conference, EDCC 2014</t>
  </si>
  <si>
    <t xml:space="preserve">10.1109/EDCC.2014.35</t>
  </si>
  <si>
    <t xml:space="preserve">This paper discusses strategies for I/O sharing in Multiple Independent Levels of Security (MILS) systems mostly deployed in the special environment of avionic systems. MILS system designs are promising approaches for handling the increasing complexity of functionally integrated systems, where multiple applications run concurrently on the same hardware platform. Such integrated systems, also known as Integrated Modular Avionics (IMA) in the aviation industry, require communication to remote systems located outside of the hosting hardware platform. One possible solution is to provide each partition, the isolated runtime environment of an application, a direct interface to the communication's hardware controller. Nevertheless, this approach requires a special design of the hardware itself. This paper discusses efficient system architectures for I/O sharing in the environment of high-criticality embedded systems and the exemplary analysis of Free scale's proprietary Data Path Acceleration Architecture (DPAA) with respect to generic hardware requirements. Based on this analysis we also discuss the development of possible architectures matching with the MILS approach. Even though the analysis focuses on avionics it is equally applicable to automotive architectures such as Auto SAR. © 2014 IEEE.</t>
  </si>
  <si>
    <t xml:space="preserve">R1066</t>
  </si>
  <si>
    <t xml:space="preserve">Finke C.; Butts J.; Mills R.; Grimaila M.</t>
  </si>
  <si>
    <t xml:space="preserve">Evaluation of a cryptographic security scheme for air traffic control's next generation upgrade</t>
  </si>
  <si>
    <t xml:space="preserve">8th International Conference on Information Warfare and Security, ICIW 2013</t>
  </si>
  <si>
    <t xml:space="preserve">The United States' national airspace system (NAS) is reliant on legacy systems and technology that stems from the 1970s. Indeed, the Air Traffic Control (ATC) radar surveillance system is antiquated, the controller communication protocol is unreliable, and the traffic management process is heavily dependent on human perception of conflict. As a result, the safety margin incorporated into the ATC separation standards artificially limits air traffic capacity. With the demand for air transportation increasing each year, the Federal Aviation Administration (FAA) has introduced the Next Generation (NextGen) upgrade to modernize ATC capabilities. Automatic Dependent Surveillance-Broadcast (ADS-B), a key component of the NextGen upgrade, enables an aircraft to generate and broadcast digital messages that contain the aircraft's Global Positioning System (GPS) coordinates. Ground stations and other aircraft within range will be able to interpret the sender's location, trajectory, and identification. The incorporation of ADS-B surveillance is intended to provide enhanced surveillance accuracy, efficiency, and safety. The open design of the system, however, introduces inherent security concerns. Currently, ADS-B messages can be received and decoded by any receiver within range that is tuned to the operating frequency. Additionally, recent research has demonstrated aircraft position and tracks are surprisingly simple to fabricate-making it possible for malicious spoofing to flood the ATC system. In each instance, the ability to intercept and fabricate authentic ADS-B messages was accomplished using inexpensive, store-bought equipment. Such key vulnerabilities could be mitigated using encryption, providing message confidentiality and aircraft authentication. However, implementation of a large-scale, distributed encryption scheme is nontrivial. This paper evaluates limitations of the legacy systems currently associated with the ATC and explores the feasibility of employing Format Preserving Encryption (FPE), specifically the FFX algorithm, within ADS-B communication. Based on the analysis, recommendations are provided that highlight areas that should be examined for inclusion in the ADS-B upgrade plan.</t>
  </si>
  <si>
    <t xml:space="preserve">R1157</t>
  </si>
  <si>
    <t xml:space="preserve">Karmarkar A.R.; Martin L.</t>
  </si>
  <si>
    <t xml:space="preserve">Aviation communication infrastructure security</t>
  </si>
  <si>
    <t xml:space="preserve">ICNS 2012: Bridging CNS and ATM - Conference Proceedings</t>
  </si>
  <si>
    <t xml:space="preserve">10.1109/ICNSurv.2012.6218392</t>
  </si>
  <si>
    <t xml:space="preserve">In support of NextGen data communications applications, the FAA (Federal Aviation Authority) and the other ANSPs (Air Navigation Service Providers) plan to share the existing data radio currently used for supporting airline operations. Traditionally, ANSPs have operated all their communication in a relatively closed network environment. Air Traffic control data communications between the controller and the pilot; using existing Communication Service Provider (CSP) infrastructure over the existing data radio exposes the air traffic control message traffic to vulnerabilities in the network outside the ANSP domain. The use of shared radio and the ground infrastructure necessitates operation in a relatively open network environment where the ANSP network is interconnected with the CSP network which in turn is connected to airlines operations. Network hackers can probe for vulnerabilities in the network and launch a covert network attack at an appropriate time. While the air to ground communication security is subjected to collaborative standards evolution, there is a need to address the potential of distributed network attacks that may be launched from outside on the ground network. This paper explores potential vulnerabilities in the ground network, possible techniques to mitigate attacks, such as distributed denial of service attacks launched by hackers on the ground infrastructure outside the ANSP domain. The network attacks described in this paper are not restricted to data communications they are equally applicable to surveillance systems. The paper also explores the heightened possibility of penetrating the ANSP infrastructure firewall when network attacks are in progress. © 2012 IEEE.</t>
  </si>
  <si>
    <t xml:space="preserve">R1192</t>
  </si>
  <si>
    <t xml:space="preserve">Aloi D.N.; Steffes A.R.</t>
  </si>
  <si>
    <t xml:space="preserve">Vehicle impact on Personal Privacy Device (PPD) performance</t>
  </si>
  <si>
    <t xml:space="preserve">25th International Technical Meeting of the Satellite Division of the Institute of Navigation 2012, ION GNSS 2012</t>
  </si>
  <si>
    <t xml:space="preserve">Personal Privacy Devices (PPDs) have posed an interference risk to the ground and air sub-systems of the Local Area Augmentation Systems (LAAS). This threat occurs when a vehicle equipped with a PPD drives by an airport. In order to characterize the significance of this threat, a working group within the Federal Aviation Administration (FAA) was assembled to create a detailed link budget model for this scenario. The impact of the vehicle platform is a crucial element of this model. This paper performs a detailed analysis on the impact of the vehicle platform on the PPD radiated three-dimensional radiation pattern from a vehicular platform. The study is inclusive of 3 vehicle platforms (sedan, truck, and van), 2 PPD antennas, 3 PPD locations with each vehicle (dashboard, seat, floor) and 2 PPD antenna orientations (vertical and horizontal) totaling 36 distinct configurations. In each configuration the three-dimensional radiation pattern was measured at an automotive antenna range making measurements with a spatial resolution of 5 degrees in the elevation plane and 2 degrees in the azimuth plane. The range of angles was 0° to 95° and 0° to 358° in the elevation and azimuth planes, respectively. Data analysis was then performed to show the impact of the vehicle platform, antenna type, antenna location and antenna orientation.</t>
  </si>
  <si>
    <t xml:space="preserve">R1114</t>
  </si>
  <si>
    <t xml:space="preserve">Sampigethaya K.; Poovendran R.; Shetty S.; Davis T.; Royalty C.</t>
  </si>
  <si>
    <t xml:space="preserve">Future E-enabled aircraft communications and security: The next 20 years and beyond</t>
  </si>
  <si>
    <t xml:space="preserve">Proceedings of the IEEE</t>
  </si>
  <si>
    <t xml:space="preserve">10.1109/JPROC.2011.2162209</t>
  </si>
  <si>
    <t xml:space="preserve">Aircraft data communications and networking are key enablers for civilian air transportation systems to meet projected aviation demands of the next 20 years and beyond. In this paper, we show how the envisioned e-enabled aircraft plays a central role in streamlining system modernization efforts. We show why performance targets such as safety, security, capacity, efficiency, environmental benefit, travel comfort, and convenience will heavily depend on communications, networking and cyber-physical security capabilities of the e-enabled aircraft. The paper provides a comprehensive overview of the state-of-the-art research and standardization efforts. We highlight unique challenges, recent advances, and open problems in enhancing operations as well as certification of the future e-enabled aircraft. © 2011 IEEE.</t>
  </si>
  <si>
    <t xml:space="preserve">R1374</t>
  </si>
  <si>
    <t xml:space="preserve">Sampigethaya K.; Poovendran R.</t>
  </si>
  <si>
    <t xml:space="preserve">Security and privacy of future aircraft wireless communications with offboard systems</t>
  </si>
  <si>
    <t xml:space="preserve">2011 3rd International Conference on Communication Systems and Networks, COMSNETS 2011</t>
  </si>
  <si>
    <t xml:space="preserve">10.1109/COMSNETS.2011.5716527</t>
  </si>
  <si>
    <t xml:space="preserve">Modern global aviation must rise up to the challenge of safely, securely and efficiently managing increasingly crowded skies under growing passenger, business and societal demands. The "e-enabled aircraft" plays a central role in overcoming this grand challenge. Aeronautical-specific and commercial wireless data links as well as Internet standards will tightly integrate this aircraft with off-board systems in space, air and ground for revolutionizing air traffic control, flight operations and passenger services. However, potential vulnerabilities of these new technologies present risks to performance, user acceptance and deployment cost of future airspace systems. In this paper, we focus on these vulnerabilities and their mitigation. We discuss security and privacy threats and challenges that emerge with wireless-enabled air traffic control and flight operations. © 2011 IEEE.</t>
  </si>
  <si>
    <t xml:space="preserve">R1202</t>
  </si>
  <si>
    <t xml:space="preserve">Yue M.; Wu X.</t>
  </si>
  <si>
    <t xml:space="preserve">The approach of ACARS data encryption and authentication</t>
  </si>
  <si>
    <t xml:space="preserve">Proceedings - 2010 International Conference on Computational Intelligence and Security, CIS 2010</t>
  </si>
  <si>
    <t xml:space="preserve">10.1109/CIS.2010.127</t>
  </si>
  <si>
    <t xml:space="preserve">With the increasing number of aircraft, the airlines and civil aviation organization are relying on ACARS (Aircraft Communications Addressing and Report System) for air traffic and control. Unfortunately, automated information exchange between aircraft and ground entity also increase the system vulnerability and may severely impacts the safety of a flight. This paper introduce a End-to-End architecture which employ message encryption and authentication to protect the security between aircraft and airlines and thus permit ACARS datalink messages to be exchanged in a secure manner. © 2010 IEEE.</t>
  </si>
  <si>
    <t xml:space="preserve">R1873</t>
  </si>
  <si>
    <t xml:space="preserve">Ayaz S.; Bauer C.; Ehammer M.</t>
  </si>
  <si>
    <t xml:space="preserve">Applying IKE/IPsec context transfer to aeronautical networks</t>
  </si>
  <si>
    <t xml:space="preserve">MobiWac'09 - Proceedings of the 7th ACM International Symposium on Mobility Management and Wireless Access</t>
  </si>
  <si>
    <t xml:space="preserve">10.1145/1641776.1641798</t>
  </si>
  <si>
    <t xml:space="preserve">The International Civil Aviation Organization (ICAO) is currently standardizing an IPv6-based Aeronautical Telecommunications Network (ATN/IP) as a next generation communication network for air traffic management. Thereby, ATN/IP considers Mobile IPv6 (MIPv6) as a basic mobility management protocol which provides host mobility. Considering a large number of hosts within an aircraft, the need for network mobility (NEMO) arises. However, the base NEMO protocol does not support route optimization (RO), a feature which provides better end-to-end delay performance. In this paper, we considered the Global Home Agent to Home Agent (HAHA) protocol as a NEMO RO solution for the aeronautical environment. MIPv6/NEMO requires a security association (SA) between MR and HA in order to protect the mobility signalling. In a Global HAHA network, in case MR switches from one HA to another, it has to re-establish the IKE/IPsec SA and perform mobility signalling with the new HA. In this paper, we propose to use the context transfer protocol (CXTP) for re-establishing the SA between MR and the new HA which provides better signalling overhead and delay performance. Copyright 2009 ACM.</t>
  </si>
  <si>
    <t xml:space="preserve">Decision</t>
  </si>
  <si>
    <t xml:space="preserve">Code</t>
  </si>
  <si>
    <t xml:space="preserve">Reason</t>
  </si>
  <si>
    <t xml:space="preserve">R0001</t>
  </si>
  <si>
    <t xml:space="preserve">Novel Machine Learning-Based Identification and Mitigation of 5G Interference for Radar Altimeters</t>
  </si>
  <si>
    <t xml:space="preserve">10.1109/ACCESS.2024.3432833</t>
  </si>
  <si>
    <t xml:space="preserve">Exclude</t>
  </si>
  <si>
    <t xml:space="preserve">E2</t>
  </si>
  <si>
    <t xml:space="preserve">Aviation context, but no security/threat concept in title/abstract/keywords</t>
  </si>
  <si>
    <t xml:space="preserve">R0002</t>
  </si>
  <si>
    <t xml:space="preserve">DevOps Practices in Aviation Communications: CICD-Driven Aircraft Ground Server Updates and Security Assurance</t>
  </si>
  <si>
    <t xml:space="preserve">10.1109/ICMTAE66890.2025.11428083</t>
  </si>
  <si>
    <t xml:space="preserve">E4</t>
  </si>
  <si>
    <t xml:space="preserve">Ground IT / airport / enterprise / SWIM information management – not a CNS link or avionics network</t>
  </si>
  <si>
    <t xml:space="preserve">R0003</t>
  </si>
  <si>
    <t xml:space="preserve">ECHOES: The Feasibility of Space-based VHF Communications</t>
  </si>
  <si>
    <t xml:space="preserve">R0005</t>
  </si>
  <si>
    <t xml:space="preserve">LEO Satellite Constellation Design for Regional Coverage Based on Beam Hopping</t>
  </si>
  <si>
    <t xml:space="preserve">10.1109/WCSP62071.2024.10827380</t>
  </si>
  <si>
    <t xml:space="preserve">R0006</t>
  </si>
  <si>
    <t xml:space="preserve">Leverage Ontogenetic AI Models for Enhanced Aviation Safety</t>
  </si>
  <si>
    <t xml:space="preserve">10.1109/ICNS69853.2026.11570437</t>
  </si>
  <si>
    <t xml:space="preserve">R0007</t>
  </si>
  <si>
    <t xml:space="preserve">Electromagnetic Signal Injection Attacks on Differential Signaling</t>
  </si>
  <si>
    <t xml:space="preserve">10.1145/3579856.3590326</t>
  </si>
  <si>
    <t xml:space="preserve">E1</t>
  </si>
  <si>
    <t xml:space="preserve">Not an aviation communication/CNS system (other domain or generic technique)</t>
  </si>
  <si>
    <t xml:space="preserve">R0008</t>
  </si>
  <si>
    <t xml:space="preserve">Autonomous Multi-UAV System for Runway FOD Detection Using Hybrid Navigation</t>
  </si>
  <si>
    <t xml:space="preserve">10.1109/ICCAR64901.2025.11072944</t>
  </si>
  <si>
    <t xml:space="preserve">R0009</t>
  </si>
  <si>
    <t xml:space="preserve">Analysis of the Quality of Service Indicators for Aviation Communication Systems</t>
  </si>
  <si>
    <t xml:space="preserve">10.1007/978-3-031-91992-3_17</t>
  </si>
  <si>
    <t xml:space="preserve">R0010</t>
  </si>
  <si>
    <t xml:space="preserve">Mitigation of Phase Transitions in Self-Organizing NoC for Stable Queueing Dynamics</t>
  </si>
  <si>
    <t xml:space="preserve">10.1109/TC.2024.3500373</t>
  </si>
  <si>
    <t xml:space="preserve">R0011</t>
  </si>
  <si>
    <t xml:space="preserve">Adaptive Channel Division and Subchannel Allocation for Orthogonal Frequency Division Multiple Access-Based Airborne Power Line Communication Networks</t>
  </si>
  <si>
    <t xml:space="preserve">10.3390/s24237644</t>
  </si>
  <si>
    <t xml:space="preserve">R0012</t>
  </si>
  <si>
    <t xml:space="preserve">Redefining educational success: Analyzing the impact of closed management systems on student well-being and academic performance in Chinese technical education</t>
  </si>
  <si>
    <t xml:space="preserve">10.1177/20427530241299032</t>
  </si>
  <si>
    <t xml:space="preserve">R0013</t>
  </si>
  <si>
    <t xml:space="preserve">Drone Threat Crisis Management in Aviationa: A Conceptual Study of Technology Readiness and Usage at Kuala Lumpur International Airport (KLIA)</t>
  </si>
  <si>
    <t xml:space="preserve">10.1109/ICAIII69475.2026.11521655</t>
  </si>
  <si>
    <t xml:space="preserve">E5</t>
  </si>
  <si>
    <t xml:space="preserve">Physical aviation security, human factors, or organisational/policy only</t>
  </si>
  <si>
    <t xml:space="preserve">R0014</t>
  </si>
  <si>
    <t xml:space="preserve">Collaboration Practices for the Cybersecurity of Supply Chains to Critical Infrastructure</t>
  </si>
  <si>
    <t xml:space="preserve">10.3390/app14135805</t>
  </si>
  <si>
    <t xml:space="preserve">R0015</t>
  </si>
  <si>
    <t xml:space="preserve">Standardized Take-Off and Landing Procedures for UAM Operations with CNS Integration Across Diverse Environments</t>
  </si>
  <si>
    <t xml:space="preserve">10.1109/SysCon66367.2026.11503488</t>
  </si>
  <si>
    <t xml:space="preserve">R0016</t>
  </si>
  <si>
    <t xml:space="preserve">Enhancing Real-Time Military Intelligence through LoRa and Advanced Data Analysis</t>
  </si>
  <si>
    <t xml:space="preserve">10.1109/ESCI63694.2025.10988449</t>
  </si>
  <si>
    <t xml:space="preserve">R0017</t>
  </si>
  <si>
    <t xml:space="preserve">Design of Cavity Backed Slotted Antenna using Machine Learning Regression Model</t>
  </si>
  <si>
    <t xml:space="preserve">10.1109/ICCC64910.2025.11077324</t>
  </si>
  <si>
    <t xml:space="preserve">R0018</t>
  </si>
  <si>
    <t xml:space="preserve">Ethical Groundings: Uncovering Boeing's Moral Responsibility for the 737 MAX Crashes</t>
  </si>
  <si>
    <t xml:space="preserve">10.1109/SIEDS61124.2024.10534675</t>
  </si>
  <si>
    <t xml:space="preserve">R0019</t>
  </si>
  <si>
    <t xml:space="preserve">An Integrated Approach to Altitude Monitoring and Logging for Adventure and Scientific Use with Data Logging with Web Server Monitor</t>
  </si>
  <si>
    <t xml:space="preserve">10.1109/ICPCT64145.2025.10941389</t>
  </si>
  <si>
    <t xml:space="preserve">R0020</t>
  </si>
  <si>
    <t xml:space="preserve">Event-Triggered Extended PID Control for SISO Affine Nonlinear System</t>
  </si>
  <si>
    <t xml:space="preserve">10.1007/s11424-025-4286-1</t>
  </si>
  <si>
    <t xml:space="preserve">R0021</t>
  </si>
  <si>
    <t xml:space="preserve">Enhancing the operational reliability of Unmanned Aerial Vehicles in northern conditions</t>
  </si>
  <si>
    <t xml:space="preserve">10.1117/12.3109619</t>
  </si>
  <si>
    <t xml:space="preserve">R0022</t>
  </si>
  <si>
    <t xml:space="preserve">Integration of Artificial Intelligence in Micro-patch Antenna Design for AMCA Aircraft</t>
  </si>
  <si>
    <t xml:space="preserve">R0023</t>
  </si>
  <si>
    <t xml:space="preserve">Impact of Ground-Based Interferences on GNSS Space Receivers On-Board LEO Satellites</t>
  </si>
  <si>
    <t xml:space="preserve">10.33012/2025.20370</t>
  </si>
  <si>
    <t xml:space="preserve">Include</t>
  </si>
  <si>
    <t xml:space="preserve">INC</t>
  </si>
  <si>
    <t xml:space="preserve">Meets IC1–IC3</t>
  </si>
  <si>
    <t xml:space="preserve">R0025</t>
  </si>
  <si>
    <t xml:space="preserve">High-temperature fibers for data transmission and sensing</t>
  </si>
  <si>
    <t xml:space="preserve">10.1117/12.3023799</t>
  </si>
  <si>
    <t xml:space="preserve">R0026</t>
  </si>
  <si>
    <t xml:space="preserve">Satellite Wide Area Multilateration Solution, Applications, and Benefits</t>
  </si>
  <si>
    <t xml:space="preserve">10.1109/ICNS65417.2025.10976839</t>
  </si>
  <si>
    <t xml:space="preserve">Aviation context, but security is not the primary focus (performance, safety, integrity, non-malicious interference)</t>
  </si>
  <si>
    <t xml:space="preserve">R0027</t>
  </si>
  <si>
    <t xml:space="preserve">Human Factors in Aviation Safety: NLP on Pilot Reports</t>
  </si>
  <si>
    <t xml:space="preserve">10.1109/ICAAIC64647.2025.11329454</t>
  </si>
  <si>
    <t xml:space="preserve">R0028</t>
  </si>
  <si>
    <t xml:space="preserve">When It Goes Right, When It Goes Wrong: Lessons Learned from Automation in Aviation</t>
  </si>
  <si>
    <t xml:space="preserve">10.1007/978-3-031-83512-4_19</t>
  </si>
  <si>
    <t xml:space="preserve">R0029</t>
  </si>
  <si>
    <t xml:space="preserve">Digital Twin-Assisted PVSNs for Next-Generation Automated Solutions: A Technical Survey</t>
  </si>
  <si>
    <t xml:space="preserve">10.1007/978-3-032-22908-3_10</t>
  </si>
  <si>
    <t xml:space="preserve">R0031</t>
  </si>
  <si>
    <t xml:space="preserve">Relaying Volcanic Plume Measurements in Real Time by Using a Balloon-Borne Multi-Gas and Particles Sensors System</t>
  </si>
  <si>
    <t xml:space="preserve">10.1109/ICEAA65662.2025.11306006</t>
  </si>
  <si>
    <t xml:space="preserve">R0032</t>
  </si>
  <si>
    <t xml:space="preserve">Natural language-based evaluation of situational awareness and decision-making in air transportation</t>
  </si>
  <si>
    <t xml:space="preserve">10.1080/15472450.2026.2669500</t>
  </si>
  <si>
    <t xml:space="preserve">R0033</t>
  </si>
  <si>
    <t xml:space="preserve">Neuronal Spectral Connectivity Networks to Anticipate Attention Lapses in Challenging Respiratory Environments</t>
  </si>
  <si>
    <t xml:space="preserve">10.1109/SMC58881.2025.11343722</t>
  </si>
  <si>
    <t xml:space="preserve">R0034</t>
  </si>
  <si>
    <t xml:space="preserve">Dual-Selective Fading Channel Estimation for UAV Communications with Full-Band Interference Noise Resistance</t>
  </si>
  <si>
    <t xml:space="preserve">10.1109/SPIC68204.2025.11470697</t>
  </si>
  <si>
    <t xml:space="preserve">R0035</t>
  </si>
  <si>
    <t xml:space="preserve">A Comparison of Pilot Situation Awareness in Virtual Reality Flight Simulation and an Online Cognitive Health Screening Tool</t>
  </si>
  <si>
    <t xml:space="preserve">10.1007/978-3-031-94153-5_4</t>
  </si>
  <si>
    <t xml:space="preserve">R0037</t>
  </si>
  <si>
    <t xml:space="preserve">The Safety Consideration in Civil Aircraft Communication and Navigation System Development</t>
  </si>
  <si>
    <t xml:space="preserve">10.1109/ISSSR61934.2024.00015</t>
  </si>
  <si>
    <t xml:space="preserve">R0038</t>
  </si>
  <si>
    <t xml:space="preserve">Optical anti-counterfeiting based on Cu+ and Sb3+ co-doped Cs2ZnCl4 single crystals</t>
  </si>
  <si>
    <t xml:space="preserve">10.1117/12.3052643</t>
  </si>
  <si>
    <t xml:space="preserve">R0039</t>
  </si>
  <si>
    <t xml:space="preserve">A Survey on the Unmanned Aircraft System Traffic Management</t>
  </si>
  <si>
    <t xml:space="preserve">10.1145/3617992</t>
  </si>
  <si>
    <t xml:space="preserve">E3</t>
  </si>
  <si>
    <t xml:space="preserve">UAS/UAM/UTM or space-traffic specific – outside manned-aviation CNS scope</t>
  </si>
  <si>
    <t xml:space="preserve">R0040</t>
  </si>
  <si>
    <t xml:space="preserve">Network System of Systems Manager</t>
  </si>
  <si>
    <t xml:space="preserve">10.1109/ICNS60906.2024.10550591</t>
  </si>
  <si>
    <t xml:space="preserve">R0041</t>
  </si>
  <si>
    <t xml:space="preserve">Machine Learning-Driven Prediction and Detection of 5G-Induced Nonlinear Interference in Radio Altimeters</t>
  </si>
  <si>
    <t xml:space="preserve">10.1109/ICCCES62661.2026.11436640</t>
  </si>
  <si>
    <t xml:space="preserve">R0042</t>
  </si>
  <si>
    <t xml:space="preserve">Performance of Positioning by Joint Network of Radio Navigation Aids in the Baltic Sea Region</t>
  </si>
  <si>
    <t xml:space="preserve">10.1109/MSNMC61130.2025.11399742</t>
  </si>
  <si>
    <t xml:space="preserve">R0045</t>
  </si>
  <si>
    <t xml:space="preserve">Enhancing Bright Band Prediction Through RadioSonde RadioWind for International Telecommunication Union-Radio Communications (ITU-R)</t>
  </si>
  <si>
    <t xml:space="preserve">10.1109/GCAT62922.2024.10924068</t>
  </si>
  <si>
    <t xml:space="preserve">R0046</t>
  </si>
  <si>
    <t xml:space="preserve">CRM for Providing Distress Assistance with Real-Time Aircraft Telemetry – DART</t>
  </si>
  <si>
    <t xml:space="preserve">10.1007/978-3-031-76824-8_22</t>
  </si>
  <si>
    <t xml:space="preserve">R0047</t>
  </si>
  <si>
    <t xml:space="preserve">The Key Challenges of SBAD M&amp;S</t>
  </si>
  <si>
    <t xml:space="preserve">10.1007/978-3-031-71397-2_12</t>
  </si>
  <si>
    <t xml:space="preserve">No aviation-communication and no security concept in title/abstract/keywords</t>
  </si>
  <si>
    <t xml:space="preserve">R0048</t>
  </si>
  <si>
    <t xml:space="preserve">AI-Enabled Predictive Maintenance for Industrial Equipment in the Era of IoT</t>
  </si>
  <si>
    <t xml:space="preserve">10.1109/ICONSTEM60960.2024.10568814</t>
  </si>
  <si>
    <t xml:space="preserve">R0049</t>
  </si>
  <si>
    <t xml:space="preserve">Harnessing LSTM Networks for Effective Speech Emotion Recognition</t>
  </si>
  <si>
    <t xml:space="preserve">10.1109/AMATHE65477.2025.11081302</t>
  </si>
  <si>
    <t xml:space="preserve">R0050</t>
  </si>
  <si>
    <t xml:space="preserve">Increased capacity in ADS-B messages implementing Phase Shift Keying encoding</t>
  </si>
  <si>
    <t xml:space="preserve">10.1109/ICNS60906.2024.10550473</t>
  </si>
  <si>
    <t xml:space="preserve">R0051</t>
  </si>
  <si>
    <t xml:space="preserve">An NLP-Focused Pilot Training Agent for Safe and Efficient Aviation Communication</t>
  </si>
  <si>
    <t xml:space="preserve">10.18653/v1/2024.naacl-industry.8</t>
  </si>
  <si>
    <t xml:space="preserve">R0052</t>
  </si>
  <si>
    <t xml:space="preserve">Integration of Organic-Electrochemical Transistors into Composite Material for Structural Health Monitoring</t>
  </si>
  <si>
    <t xml:space="preserve">10.1016/j.procs.2026.02.016</t>
  </si>
  <si>
    <t xml:space="preserve">R0053</t>
  </si>
  <si>
    <t xml:space="preserve">5G Integrated Communications, Navigation, and Surveillance: A Vision and Future Research Perspectives</t>
  </si>
  <si>
    <t xml:space="preserve">10.1109/ICNS65417.2025.10976898</t>
  </si>
  <si>
    <t xml:space="preserve">R0054</t>
  </si>
  <si>
    <t xml:space="preserve">Efficiency Analysis of Predictive Monitoring and Control for Information and Communication System</t>
  </si>
  <si>
    <t xml:space="preserve">R0055</t>
  </si>
  <si>
    <t xml:space="preserve">A Reverse link signal receiving method for L-band Digital Aviation Communication System (L-DACS1)</t>
  </si>
  <si>
    <t xml:space="preserve">10.1117/12.3052512</t>
  </si>
  <si>
    <t xml:space="preserve">R0056</t>
  </si>
  <si>
    <t xml:space="preserve">System Modeling of Passenger Traffic and Costs in Small Aircraft in Remote Regions Using Event Models</t>
  </si>
  <si>
    <t xml:space="preserve">10.1109/DASA63652.2024.10836239</t>
  </si>
  <si>
    <t xml:space="preserve">R0057</t>
  </si>
  <si>
    <t xml:space="preserve">5G Data Transmission and Signal Processing Constraints in Real-Time Lightning Mapping System</t>
  </si>
  <si>
    <t xml:space="preserve">10.1109/ICoCET66176.2025.11232906</t>
  </si>
  <si>
    <t xml:space="preserve">R0059</t>
  </si>
  <si>
    <t xml:space="preserve">Integrated CNS Infrastructure Planning for Urban Air Mobility: A Simulation and Stakeholder-Informed Study</t>
  </si>
  <si>
    <t xml:space="preserve">10.1109/ICNS69853.2026.11570332</t>
  </si>
  <si>
    <t xml:space="preserve">R0060</t>
  </si>
  <si>
    <t xml:space="preserve">Advancements in airship design and construction: A comprehensive review of structure, propulsion, and aerodynamics</t>
  </si>
  <si>
    <t xml:space="preserve">10.1117/12.3069654</t>
  </si>
  <si>
    <t xml:space="preserve">R0061</t>
  </si>
  <si>
    <t xml:space="preserve">ATCion: Exploring the Design of Icon-based Visual Aids for Enhancing In-cockpit Air Traffic Control Communication</t>
  </si>
  <si>
    <t xml:space="preserve">10.1145/3746059.3747792</t>
  </si>
  <si>
    <t xml:space="preserve">R0062</t>
  </si>
  <si>
    <t xml:space="preserve">Automated Civil-Military Airspace Coordination for Enhanced Air Defense and Operational Readiness</t>
  </si>
  <si>
    <t xml:space="preserve">10.1109/ICNS69853.2026.11570605</t>
  </si>
  <si>
    <t xml:space="preserve">R0063</t>
  </si>
  <si>
    <t xml:space="preserve">Satellite-Aerial Communications With Multi-Aircraft Interference</t>
  </si>
  <si>
    <t xml:space="preserve">10.1109/TWC.2023.3247724</t>
  </si>
  <si>
    <t xml:space="preserve">R0064</t>
  </si>
  <si>
    <t xml:space="preserve">SIW-Backed Co-Polarized Self-Triplexing Antenna With Micro-Pockets for Frequency Scaling</t>
  </si>
  <si>
    <t xml:space="preserve">10.1109/ACCESS.2025.3633768</t>
  </si>
  <si>
    <t xml:space="preserve">R0065</t>
  </si>
  <si>
    <t xml:space="preserve">The Growing Importance of Alternative Indoor and Seamless Positioning and Navigation in Response to Escalating GNSS Attacks</t>
  </si>
  <si>
    <t xml:space="preserve">10.1109/IPIN62893.2024.10786132</t>
  </si>
  <si>
    <t xml:space="preserve">E7</t>
  </si>
  <si>
    <t xml:space="preserve">Generic GNSS/SATCOM/jamming technique – not aviation-specific</t>
  </si>
  <si>
    <t xml:space="preserve">R0066</t>
  </si>
  <si>
    <t xml:space="preserve">Society 5.0: A Transformation towards Human-Centered Artificial Intelligence</t>
  </si>
  <si>
    <t xml:space="preserve">Book</t>
  </si>
  <si>
    <t xml:space="preserve">10.1201/9781003643166</t>
  </si>
  <si>
    <t xml:space="preserve">E6</t>
  </si>
  <si>
    <t xml:space="preserve">Not primary peer-reviewed research (book / talk abstract)</t>
  </si>
  <si>
    <t xml:space="preserve">R0068</t>
  </si>
  <si>
    <t xml:space="preserve">Modified Pareto Strength Ant Colony Optimization for L-Band Digital Aeronautical Communication System Cell Planning</t>
  </si>
  <si>
    <t xml:space="preserve">10.1109/JIOT.2025.3648821</t>
  </si>
  <si>
    <t xml:space="preserve">R0069</t>
  </si>
  <si>
    <t xml:space="preserve">AT-Simulator: An Aviation Traffic Simulation Framework for LEO Communication Networks</t>
  </si>
  <si>
    <t xml:space="preserve">10.1109/IUCC65928.2024.00084</t>
  </si>
  <si>
    <t xml:space="preserve">R0070</t>
  </si>
  <si>
    <t xml:space="preserve">Construction technology of 5G special test network for flight test</t>
  </si>
  <si>
    <t xml:space="preserve">10.1117/12.3052201</t>
  </si>
  <si>
    <t xml:space="preserve">R0071</t>
  </si>
  <si>
    <t xml:space="preserve">Research on Lateral Safety Spacing for Fusion Operation Based on Unmanned and Manned Aircraft-Event Modeling</t>
  </si>
  <si>
    <t xml:space="preserve">10.3390/s24020553</t>
  </si>
  <si>
    <t xml:space="preserve">R0072</t>
  </si>
  <si>
    <t xml:space="preserve">Generating Realistic Air Traffic Control Voice Communication using AI-based Text-to-Speech Models</t>
  </si>
  <si>
    <t xml:space="preserve">10.1109/ICNS69853.2026.11570606</t>
  </si>
  <si>
    <t xml:space="preserve">R0073</t>
  </si>
  <si>
    <t xml:space="preserve">Design and Evaluation of a MISO VLC System for In-Flight Internet Access</t>
  </si>
  <si>
    <t xml:space="preserve">10.1109/COLCOM66267.2025.11185793</t>
  </si>
  <si>
    <t xml:space="preserve">R0074</t>
  </si>
  <si>
    <t xml:space="preserve">Civil-Military Airspace Sharing: Tactical and Strategic Approaches to Optimizing Efficiency</t>
  </si>
  <si>
    <t xml:space="preserve">10.1109/ICNS65417.2025.10976835</t>
  </si>
  <si>
    <t xml:space="preserve">R0075</t>
  </si>
  <si>
    <t xml:space="preserve">A Distributed Geographic Routing Protocol Based on Multi-Metric Hybrid Weighting for Aeronautical Ad Hoc Networks</t>
  </si>
  <si>
    <t xml:space="preserve">10.1109/ISCCN69074.2026.11564502</t>
  </si>
  <si>
    <t xml:space="preserve">R0077</t>
  </si>
  <si>
    <t xml:space="preserve">Algorithms of data processing for costs reducing in the aviation enterprise</t>
  </si>
  <si>
    <t xml:space="preserve">R0078</t>
  </si>
  <si>
    <t xml:space="preserve">Evaluation of Performance, Energy, and Computation Costs of Quantum-Attack Resilient Encryption Algorithms for Embedded Devices</t>
  </si>
  <si>
    <t xml:space="preserve">10.1109/ACCESS.2024.3350775</t>
  </si>
  <si>
    <t xml:space="preserve">R0079</t>
  </si>
  <si>
    <t xml:space="preserve">Exploiting Inter-Satellite Links for In-Flight Connectivity Scheme in Space-Air-Ground Integrated Networks</t>
  </si>
  <si>
    <t xml:space="preserve">10.1109/GLOBECOM52923.2024.10901039</t>
  </si>
  <si>
    <t xml:space="preserve">R0080</t>
  </si>
  <si>
    <t xml:space="preserve">Optimization of interactive aviation speech generation model based on reinforcement learning</t>
  </si>
  <si>
    <t xml:space="preserve">10.1117/12.3112034</t>
  </si>
  <si>
    <t xml:space="preserve">R0081</t>
  </si>
  <si>
    <t xml:space="preserve">IoT Based Fuel Track System</t>
  </si>
  <si>
    <t xml:space="preserve">10.1109/ICNGCS64900.2025.11183159</t>
  </si>
  <si>
    <t xml:space="preserve">R0082</t>
  </si>
  <si>
    <t xml:space="preserve">Multi-Channel Self-Organized TDMA for Future Aeronautical Mobile Ad-Hoc Networks</t>
  </si>
  <si>
    <t xml:space="preserve">10.1109/TVT.2024.3380316</t>
  </si>
  <si>
    <t xml:space="preserve">R0083</t>
  </si>
  <si>
    <t xml:space="preserve">Enhancing Coastal Air Navigation: eLoran 3-D Positioning and Cycle Slip Mitigation</t>
  </si>
  <si>
    <t xml:space="preserve">10.1109/ACCESS.2024.3423349</t>
  </si>
  <si>
    <t xml:space="preserve">R0084</t>
  </si>
  <si>
    <t xml:space="preserve">Enhancing Speech Quality in Air Traffic Control Communication Using DIUnet_V-Based Speech Enhancement Techniques</t>
  </si>
  <si>
    <t xml:space="preserve">10.1587/transinf.2023EDP7110</t>
  </si>
  <si>
    <t xml:space="preserve">R0085</t>
  </si>
  <si>
    <t xml:space="preserve">An Overview of Natural Language Processing (NLP) in Healthcare: Implications for English Language Teaching</t>
  </si>
  <si>
    <t xml:space="preserve">10.1109/I-SMAC61858.2024.10714890</t>
  </si>
  <si>
    <t xml:space="preserve">R0086</t>
  </si>
  <si>
    <t xml:space="preserve">Emerging Technologies in Aviation: The Simulated Air Traffic Control Environment (SATCE) Application in Competency Based Training and Assessment</t>
  </si>
  <si>
    <t xml:space="preserve">10.54941/ahfe1004528</t>
  </si>
  <si>
    <t xml:space="preserve">R0088</t>
  </si>
  <si>
    <t xml:space="preserve">Development of a Prototype Ka-Band Aircraft Telemetry Transmission System</t>
  </si>
  <si>
    <t xml:space="preserve">10.1109/WECONF69969.2026.11553809</t>
  </si>
  <si>
    <t xml:space="preserve">R0089</t>
  </si>
  <si>
    <t xml:space="preserve">Artificial Intelligence of Things as New Paradigm in Aviation Health Monitoring Systems</t>
  </si>
  <si>
    <t xml:space="preserve">10.3390/fi16080276</t>
  </si>
  <si>
    <t xml:space="preserve">R0090</t>
  </si>
  <si>
    <t xml:space="preserve">Air Traffic Management and Communication over ATN/IPS for Future Datalink Communication</t>
  </si>
  <si>
    <t xml:space="preserve">10.1109/ICNS65417.2025.10976836</t>
  </si>
  <si>
    <t xml:space="preserve">R0091</t>
  </si>
  <si>
    <t xml:space="preserve">A Date Delivery Scheduling Strategy for Civil Aviation in Ultra-Dense LEO Satellite Networks</t>
  </si>
  <si>
    <t xml:space="preserve">10.1109/ICC52391.2025.11161499</t>
  </si>
  <si>
    <t xml:space="preserve">R0092</t>
  </si>
  <si>
    <t xml:space="preserve">Research on civil aviation application requirements and derivative scenarios based on satellite communication</t>
  </si>
  <si>
    <t xml:space="preserve">10.1109/ICCASIT66611.2025.11348871</t>
  </si>
  <si>
    <t xml:space="preserve">R0097</t>
  </si>
  <si>
    <t xml:space="preserve">Application of Arduino Microcomputer in the Creation of Aeronautical Data Recorder</t>
  </si>
  <si>
    <t xml:space="preserve">10.1007/978-3-031-81261-3_21</t>
  </si>
  <si>
    <t xml:space="preserve">R0098</t>
  </si>
  <si>
    <t xml:space="preserve">5G-Based Autonomous Ground Risk Mitigation for Uavs</t>
  </si>
  <si>
    <t xml:space="preserve">10.1109/ICC52391.2025.11160843</t>
  </si>
  <si>
    <t xml:space="preserve">R0099</t>
  </si>
  <si>
    <t xml:space="preserve">VLEO Satellite Constellation Design for Regional Aviation and Marine Coverage</t>
  </si>
  <si>
    <t xml:space="preserve">10.1109/TNSE.2023.3321600</t>
  </si>
  <si>
    <t xml:space="preserve">R0100</t>
  </si>
  <si>
    <t xml:space="preserve">Cognitive Reality (VR) and Simulated Air Traffic Control Environment (SATCE) in Flight Training: The Purdue Case Study</t>
  </si>
  <si>
    <t xml:space="preserve">10.54941/ahfe1004473</t>
  </si>
  <si>
    <t xml:space="preserve">R0102</t>
  </si>
  <si>
    <t xml:space="preserve">UWB-Aided Hybrid Navigation System in Degraded GNSS Environments</t>
  </si>
  <si>
    <t xml:space="preserve">10.33012/2024.19737</t>
  </si>
  <si>
    <t xml:space="preserve">R0103</t>
  </si>
  <si>
    <t xml:space="preserve">A Comparative Study between Paper and Paperless Aircraft Maintenance: A Case Study</t>
  </si>
  <si>
    <t xml:space="preserve">10.3390/su152015150</t>
  </si>
  <si>
    <t xml:space="preserve">R0104</t>
  </si>
  <si>
    <t xml:space="preserve">An Efficient and Low-Delay SFC Recovery Method in the Space–Air–Ground Integrated Aviation Information Network with Integrated UAVs</t>
  </si>
  <si>
    <t xml:space="preserve">10.3390/drones9060440</t>
  </si>
  <si>
    <t xml:space="preserve">R0106</t>
  </si>
  <si>
    <t xml:space="preserve">Design of a Cockpit Voice Data Analysis and Processing System</t>
  </si>
  <si>
    <t xml:space="preserve">10.1109/ICCASIT62299.2024.10828146</t>
  </si>
  <si>
    <t xml:space="preserve">R0107</t>
  </si>
  <si>
    <t xml:space="preserve">Peer-to-Peer Interpretability and Communication: Simple Language Design Using Model-Based Systems Engineering with Lifecycle-Oriented Strategies and Innovative Practices for Career Readiness</t>
  </si>
  <si>
    <t xml:space="preserve">10.1109/FIE61694.2024.10893482</t>
  </si>
  <si>
    <t xml:space="preserve">R0109</t>
  </si>
  <si>
    <t xml:space="preserve">A Fused Situational Awareness Model of Air Traffic Controller and Pilot by Radiotelephony</t>
  </si>
  <si>
    <t xml:space="preserve">10.18178/wcse.2025.06.047</t>
  </si>
  <si>
    <t xml:space="preserve">R0110</t>
  </si>
  <si>
    <t xml:space="preserve">Hyperconnected ATM Concept and Challenges</t>
  </si>
  <si>
    <t xml:space="preserve">10.1109/ICNS65417.2025.10976882</t>
  </si>
  <si>
    <t xml:space="preserve">R0111</t>
  </si>
  <si>
    <t xml:space="preserve">The Implementation of Artificial Intelligence (AI) in Aviation Accident Investigations</t>
  </si>
  <si>
    <t xml:space="preserve">10.54941/ahfe1006499</t>
  </si>
  <si>
    <t xml:space="preserve">R0112</t>
  </si>
  <si>
    <t xml:space="preserve">Taxiway Conformance Monitoring via ATC Voice Communications</t>
  </si>
  <si>
    <t xml:space="preserve">10.1109/ICNS65417.2025.10976969</t>
  </si>
  <si>
    <t xml:space="preserve">R0113</t>
  </si>
  <si>
    <t xml:space="preserve">Smart Wireless Transducer Dedicated for Use in Aviation Laboratories</t>
  </si>
  <si>
    <t xml:space="preserve">10.3390/s24113585</t>
  </si>
  <si>
    <t xml:space="preserve">R0115</t>
  </si>
  <si>
    <t xml:space="preserve">Building a Human-Centric SOC: A New Framework for Success</t>
  </si>
  <si>
    <t xml:space="preserve">10.1007/978-3-031-82031-1_27</t>
  </si>
  <si>
    <t xml:space="preserve">R0116</t>
  </si>
  <si>
    <t xml:space="preserve">When AI Stays Silent: Hidden Agreement May Undermine Trust Building in Adaptive Decision Support and Training</t>
  </si>
  <si>
    <t xml:space="preserve">10.1007/978-3-032-13174-4_17</t>
  </si>
  <si>
    <t xml:space="preserve">R0117</t>
  </si>
  <si>
    <t xml:space="preserve">Radar Spectrum Analysis and Machine Learning-Based Classification for Identity-Based Unmanned Aerial Vehicles Detection and Authentication</t>
  </si>
  <si>
    <t xml:space="preserve">10.14569/IJACSA.2024.0151260</t>
  </si>
  <si>
    <t xml:space="preserve">R0118</t>
  </si>
  <si>
    <t xml:space="preserve">Keys in the Weights: Transformer Authentication Using Model-Bound Latent Representations</t>
  </si>
  <si>
    <t xml:space="preserve">10.1109/CARS67163.2025.11337776</t>
  </si>
  <si>
    <t xml:space="preserve">R0119</t>
  </si>
  <si>
    <t xml:space="preserve">Architecture and Algorithm Design for Civil Aviation Data Real-Time Analysis System</t>
  </si>
  <si>
    <t xml:space="preserve">10.1109/ACCESS.2024.3388194</t>
  </si>
  <si>
    <t xml:space="preserve">R0120</t>
  </si>
  <si>
    <t xml:space="preserve">Toward Fully Autonomous Aviation: PIBOT, a Humanoid Robot Pilot for Human-Centric Aircraft Cockpits</t>
  </si>
  <si>
    <t xml:space="preserve">10.1109/MRA.2024.3505774</t>
  </si>
  <si>
    <t xml:space="preserve">R0122</t>
  </si>
  <si>
    <t xml:space="preserve">Implications and Impact of Adopting Recommendations From the DOT/FAA/AM-24/20 Report on the Use of Electronic Health Records (EHR) to Support Pilot Aeromedical Certification</t>
  </si>
  <si>
    <t xml:space="preserve">10.54941/ahfe1006657</t>
  </si>
  <si>
    <t xml:space="preserve">R0124</t>
  </si>
  <si>
    <t xml:space="preserve">Deep Q-Networks and 5G Technology for Flight Analysis and Trajectory Prediction</t>
  </si>
  <si>
    <t xml:space="preserve">10.1109/CONECCT62155.2024.10677159</t>
  </si>
  <si>
    <t xml:space="preserve">R0125</t>
  </si>
  <si>
    <t xml:space="preserve">Direct-to-Device Connectivity for Integrated Communication, Navigation and Surveillance</t>
  </si>
  <si>
    <t xml:space="preserve">10.1109/ICNS69853.2026.11570280</t>
  </si>
  <si>
    <t xml:space="preserve">R0127</t>
  </si>
  <si>
    <t xml:space="preserve">SkyNetPredictor: Network Performance Prediction in Avionic Communication using AI</t>
  </si>
  <si>
    <t xml:space="preserve">10.1109/ISCC65549.2025.11326442</t>
  </si>
  <si>
    <t xml:space="preserve">R0128</t>
  </si>
  <si>
    <t xml:space="preserve">Advancing Operational Efficiency: Airspace Users' Perspective on Trajectory-Based Operations</t>
  </si>
  <si>
    <t xml:space="preserve">10.1109/ICNS65417.2025.10976949</t>
  </si>
  <si>
    <t xml:space="preserve">R0129</t>
  </si>
  <si>
    <t xml:space="preserve">Advanced Air Mobility and Evolution of Mobile Networks</t>
  </si>
  <si>
    <t xml:space="preserve">10.3390/drones7090556</t>
  </si>
  <si>
    <t xml:space="preserve">R0131</t>
  </si>
  <si>
    <t xml:space="preserve">AI - Based Aircraft Recognition System</t>
  </si>
  <si>
    <t xml:space="preserve">10.1109/AICECS63354.2024.10956219</t>
  </si>
  <si>
    <t xml:space="preserve">R0133</t>
  </si>
  <si>
    <t xml:space="preserve">5G Narrowband Internet of Things: With Satellite Connectivity and Artificial Intelligence</t>
  </si>
  <si>
    <t xml:space="preserve">10.1201/9781003613732</t>
  </si>
  <si>
    <t xml:space="preserve">R0135</t>
  </si>
  <si>
    <t xml:space="preserve">Enhancing Global Distribution System (GDS) Through API Integration for Non-BSP Travel Agencies: Case Study in Lao PDR</t>
  </si>
  <si>
    <t xml:space="preserve">10.1109/ECTIDAMTNCON67592.2026.11460006</t>
  </si>
  <si>
    <t xml:space="preserve">R0136</t>
  </si>
  <si>
    <t xml:space="preserve">An Affordable Approach to Runway Incursion Prevention</t>
  </si>
  <si>
    <t xml:space="preserve">10.1109/SIEDS61124.2024.10534670</t>
  </si>
  <si>
    <t xml:space="preserve">R0137</t>
  </si>
  <si>
    <t xml:space="preserve">Intelligent Spectrum and Airspace Resource Management for Urban Air Mobility Using Deep Reinforcement Learning</t>
  </si>
  <si>
    <t xml:space="preserve">10.1109/ACCESS.2024.3492113</t>
  </si>
  <si>
    <t xml:space="preserve">R0138</t>
  </si>
  <si>
    <t xml:space="preserve">Design and evaluation of a privacy-preserving multi-level federated learning architecture for airport biometric check-in</t>
  </si>
  <si>
    <t xml:space="preserve">10.1016/j.future.2025.108217</t>
  </si>
  <si>
    <t xml:space="preserve">R0139</t>
  </si>
  <si>
    <t xml:space="preserve">Agentic AI for Mission Adaptation: A Distributed Cognition Framework for Air Force Operations</t>
  </si>
  <si>
    <t xml:space="preserve">10.1109/InCIT66780.2025.11276050</t>
  </si>
  <si>
    <t xml:space="preserve">R0140</t>
  </si>
  <si>
    <t xml:space="preserve">Flight Test Analysis of UTM Conflict Detection Based on a Network Remote ID Using a Random Forest Algorithm</t>
  </si>
  <si>
    <t xml:space="preserve">10.3390/drones7070436</t>
  </si>
  <si>
    <t xml:space="preserve">R0141</t>
  </si>
  <si>
    <t xml:space="preserve">Satellite–Aircraft Handover in Ultra-Dense LEO Satellite Networks</t>
  </si>
  <si>
    <t xml:space="preserve">10.1109/TVT.2024.3495658</t>
  </si>
  <si>
    <t xml:space="preserve">R0142</t>
  </si>
  <si>
    <t xml:space="preserve">Modeling and modular detection of time attacks in cyber–physical systems based on timed automata with guards and dioid algebra</t>
  </si>
  <si>
    <t xml:space="preserve">10.1016/j.cose.2025.104535</t>
  </si>
  <si>
    <t xml:space="preserve">R0143</t>
  </si>
  <si>
    <t xml:space="preserve">OpenSky Report 2025: Improving Crowdsourced Flight Trajectories with ADS-C Data</t>
  </si>
  <si>
    <t xml:space="preserve">10.1109/ICNS65417.2025.10976963</t>
  </si>
  <si>
    <t xml:space="preserve">R0144</t>
  </si>
  <si>
    <t xml:space="preserve">An Integrated Agent-Based Simulation Framework for Urban Air Mobility</t>
  </si>
  <si>
    <t xml:space="preserve">10.1109/ACCESS.2026.3703364</t>
  </si>
  <si>
    <t xml:space="preserve">R0145</t>
  </si>
  <si>
    <t xml:space="preserve">Enhanced protection level based on Non-Gaussian Models with an application to RTK precise positioning</t>
  </si>
  <si>
    <t xml:space="preserve">10.33012/2025.20337</t>
  </si>
  <si>
    <t xml:space="preserve">R0146</t>
  </si>
  <si>
    <t xml:space="preserve">Secure Authentication for Remote Drone Identification using ASTM Standards</t>
  </si>
  <si>
    <t xml:space="preserve">10.1109/IWCMC65282.2025.11059727</t>
  </si>
  <si>
    <t xml:space="preserve">R0149</t>
  </si>
  <si>
    <t xml:space="preserve">Smart Emergency Landing System for Aircraft</t>
  </si>
  <si>
    <t xml:space="preserve">10.1109/ICOECA68095.2026.11485560</t>
  </si>
  <si>
    <t xml:space="preserve">R0150</t>
  </si>
  <si>
    <t xml:space="preserve">A Semi-Supervised Learning Method for Event Extraction in Radiotelephony Communication Content</t>
  </si>
  <si>
    <t xml:space="preserve">10.1109/RAIIE65740.2025.11139929</t>
  </si>
  <si>
    <t xml:space="preserve">R0151</t>
  </si>
  <si>
    <t xml:space="preserve">Research and Design of GNSS-Based Airborne Intelligent Supplemental Navigation System</t>
  </si>
  <si>
    <t xml:space="preserve">10.1109/ICCSTE65902.2025.11138415</t>
  </si>
  <si>
    <t xml:space="preserve">R0152</t>
  </si>
  <si>
    <t xml:space="preserve">Research on Fault Prediction of Computer AI Aeronautical Communication Automation System Based on AD9361 Chip</t>
  </si>
  <si>
    <t xml:space="preserve">10.1109/ICISCAE62304.2024.10761230</t>
  </si>
  <si>
    <t xml:space="preserve">R0153</t>
  </si>
  <si>
    <t xml:space="preserve">Intelligent Supervision System for Civil Aviation Operational Safety Based on Smart Glasses and Deep Learning</t>
  </si>
  <si>
    <t xml:space="preserve">10.1109/ICCASIT62299.2024.10827942</t>
  </si>
  <si>
    <t xml:space="preserve">R0154</t>
  </si>
  <si>
    <t xml:space="preserve">Experimental Study of the Method for Cyber Incidents Management in Aviation Critical Infrastructure</t>
  </si>
  <si>
    <t xml:space="preserve">10.1007/978-3-031-91992-3_6</t>
  </si>
  <si>
    <t xml:space="preserve">R0155</t>
  </si>
  <si>
    <t xml:space="preserve">Implementation Method of High-Resolution Based on ARINC818 Protocol</t>
  </si>
  <si>
    <t xml:space="preserve">10.1109/ICSP62122.2024.10743290</t>
  </si>
  <si>
    <t xml:space="preserve">R0156</t>
  </si>
  <si>
    <t xml:space="preserve">Interference analysis of anti micro and small unmanned aerial vehicles and mobile communication systems uplink</t>
  </si>
  <si>
    <t xml:space="preserve">10.1007/s11276-023-03391-9</t>
  </si>
  <si>
    <t xml:space="preserve">R0157</t>
  </si>
  <si>
    <t xml:space="preserve">Development and Practice of Aviation Maintenance Training Simulator</t>
  </si>
  <si>
    <t xml:space="preserve">10.23919/CCC63176.2024.10662654</t>
  </si>
  <si>
    <t xml:space="preserve">R0159</t>
  </si>
  <si>
    <t xml:space="preserve">Review on Predicting Space Weather Impacts Using Machine Learning Techniques for Aviation and Telecommunications</t>
  </si>
  <si>
    <t xml:space="preserve">10.1007/978-981-96-5754-4_30</t>
  </si>
  <si>
    <t xml:space="preserve">R0161</t>
  </si>
  <si>
    <t xml:space="preserve">Research and Implementation of the Airport Stop Bar Control System</t>
  </si>
  <si>
    <t xml:space="preserve">10.1109/RICAI64321.2024.10911151</t>
  </si>
  <si>
    <t xml:space="preserve">R0162</t>
  </si>
  <si>
    <t xml:space="preserve">From Tower to Center: Conversion Training for Remote Tower Operations</t>
  </si>
  <si>
    <t xml:space="preserve">10.54941/ahfe1007145</t>
  </si>
  <si>
    <t xml:space="preserve">R0163</t>
  </si>
  <si>
    <t xml:space="preserve">Predictive Beamforming for Joint Radar and Communication Transmission in LEO Satellite Aeronautical Systems</t>
  </si>
  <si>
    <t xml:space="preserve">10.1109/TVT.2025.3550680</t>
  </si>
  <si>
    <t xml:space="preserve">R0164</t>
  </si>
  <si>
    <t xml:space="preserve">A Novel Evaluation Method of Multi-channel Information Push Efficiency in Aviation Flight</t>
  </si>
  <si>
    <t xml:space="preserve">10.1109/ISCTech63666.2024.10845692</t>
  </si>
  <si>
    <t xml:space="preserve">R0165</t>
  </si>
  <si>
    <t xml:space="preserve">Aircraft Part Inspection and Repair: Nose Cone (Radome) Furbishment with Data-Rich Collaborative Robot Jig</t>
  </si>
  <si>
    <t xml:space="preserve">10.3233/ATDE250102</t>
  </si>
  <si>
    <t xml:space="preserve">R0166</t>
  </si>
  <si>
    <t xml:space="preserve">Research and Analysis of the Wireless Architecture of Civil Aircraft Emergency Lighting</t>
  </si>
  <si>
    <t xml:space="preserve">10.1109/ICIBA62489.2024.10868338</t>
  </si>
  <si>
    <t xml:space="preserve">R0167</t>
  </si>
  <si>
    <t xml:space="preserve">Lexico-syntactic features of ab initio pilots' and controllers' aeronautical English: A corpus linguistic investigation of aviation communication in the Philippine airspace</t>
  </si>
  <si>
    <t xml:space="preserve">R0168</t>
  </si>
  <si>
    <t xml:space="preserve">Evaluation of Xona Pulsar Signals In Simulation - First Results</t>
  </si>
  <si>
    <t xml:space="preserve">10.33012/2025.20409</t>
  </si>
  <si>
    <t xml:space="preserve">R0169</t>
  </si>
  <si>
    <t xml:space="preserve">Design and Development of Secure CAN Bus Communication Protocol for Industrial Field Devices using Indigenously Developed VEGA Processor</t>
  </si>
  <si>
    <t xml:space="preserve">10.1109/TEECCON64024.2024.10940035</t>
  </si>
  <si>
    <t xml:space="preserve">R0170</t>
  </si>
  <si>
    <t xml:space="preserve">Delay Sensitive Routing in an Aerial and Terrestrial Hybrid Wireless Network via Multi-agent Reinforcement Learning</t>
  </si>
  <si>
    <t xml:space="preserve">10.1109/GLOBECOM52923.2024.10901007</t>
  </si>
  <si>
    <t xml:space="preserve">R0171</t>
  </si>
  <si>
    <t xml:space="preserve">Sensing Ionospheric Disturbances In Communication Systems Using UHF Electromagnetic Propagation Models</t>
  </si>
  <si>
    <t xml:space="preserve">10.31838/NJAP/07.02.28</t>
  </si>
  <si>
    <t xml:space="preserve">R0172</t>
  </si>
  <si>
    <t xml:space="preserve">Fast computation of radio wave diffraction effects</t>
  </si>
  <si>
    <t xml:space="preserve">10.1002/dac.5930</t>
  </si>
  <si>
    <t xml:space="preserve">R0173</t>
  </si>
  <si>
    <t xml:space="preserve">Space-Based ADS-B Collision Model Analysis Using Beamforming Techniques</t>
  </si>
  <si>
    <t xml:space="preserve">10.1109/ICNS65417.2025.10976911</t>
  </si>
  <si>
    <t xml:space="preserve">R0174</t>
  </si>
  <si>
    <t xml:space="preserve">Machine Learning Ensemble Methods Approach to Support Decision-Making Drivers in Low Visibility Operations Due to Fog at the Airport of Lisbon</t>
  </si>
  <si>
    <t xml:space="preserve">10.1007/978-3-032-10947-7_9</t>
  </si>
  <si>
    <t xml:space="preserve">R0176</t>
  </si>
  <si>
    <t xml:space="preserve">Safe Return-to-Land Operations in Future Cockpits: An Analysis of Cases and Mitigation Technologies</t>
  </si>
  <si>
    <t xml:space="preserve">10.1007/978-3-032-12392-3_4</t>
  </si>
  <si>
    <t xml:space="preserve">R0177</t>
  </si>
  <si>
    <t xml:space="preserve">Research on Aircraft Surveillance System Scheme Based on Beidou</t>
  </si>
  <si>
    <t xml:space="preserve">10.1109/ICSI64877.2025.11009930</t>
  </si>
  <si>
    <t xml:space="preserve">R0178</t>
  </si>
  <si>
    <t xml:space="preserve">Backup Time Synchronization Method Based on Airborne Computer</t>
  </si>
  <si>
    <t xml:space="preserve">10.1109/AETCSE69203.2026.11504407</t>
  </si>
  <si>
    <t xml:space="preserve">R0179</t>
  </si>
  <si>
    <t xml:space="preserve">Analysis of changes in predispositions and skills for people applying for a Commercial Pilot License</t>
  </si>
  <si>
    <t xml:space="preserve">10.1109/NTAD67887.2025.11302540</t>
  </si>
  <si>
    <t xml:space="preserve">R0180</t>
  </si>
  <si>
    <t xml:space="preserve">Approach Toward Simulation Modeling With Reinforced Offloading for Heterogeneous IoT Terminals Under a Novel STECN; [Approche de modélisation par simulation avec déchargement renforcé pour les terminaux IDO hétérogènes dans un nouveau réseau STECN]</t>
  </si>
  <si>
    <t xml:space="preserve">10.1109/ICJECE.2025.3574344</t>
  </si>
  <si>
    <t xml:space="preserve">R0181</t>
  </si>
  <si>
    <t xml:space="preserve">Sustainable Cross-Cultural Service Management: Cultural Intelligence as a Mediating Mechanism Between Cultural Values and Influence Tactics in International Civil Aviation</t>
  </si>
  <si>
    <t xml:space="preserve">10.3390/su18031443</t>
  </si>
  <si>
    <t xml:space="preserve">R0182</t>
  </si>
  <si>
    <t xml:space="preserve">Novel En-Route Integrity Monitoring Algorithm for Communication-Positioning Integration System</t>
  </si>
  <si>
    <t xml:space="preserve">10.1109/ICMTAE66890.2025.11428119</t>
  </si>
  <si>
    <t xml:space="preserve">R0183</t>
  </si>
  <si>
    <t xml:space="preserve">3D Trajectory and Spectrum Optimization for Advanced Air Mobility: A Multi-agent Deep Reinforcement Learning Approach</t>
  </si>
  <si>
    <t xml:space="preserve">10.1109/GLOBECOM59602.2025.11432012</t>
  </si>
  <si>
    <t xml:space="preserve">R0184</t>
  </si>
  <si>
    <t xml:space="preserve">Research and Application of Digital Twin and Simulation Teaching Methodology in DVOR</t>
  </si>
  <si>
    <t xml:space="preserve">10.1109/ACCESS.2025.3539709</t>
  </si>
  <si>
    <t xml:space="preserve">R0185</t>
  </si>
  <si>
    <t xml:space="preserve">LMDA: Lightweight Multiauthority CP-ABE Scheme Based on Dynamic Attributes for System Wide Information Management</t>
  </si>
  <si>
    <t xml:space="preserve">10.1109/JIOT.2026.3678416</t>
  </si>
  <si>
    <t xml:space="preserve">R0186</t>
  </si>
  <si>
    <t xml:space="preserve">Solar Flare Prediction and Intensity Estimation Using a Multi-Task Transformer Encoder</t>
  </si>
  <si>
    <t xml:space="preserve">10.1109/MPCON69668.2026.11509015</t>
  </si>
  <si>
    <t xml:space="preserve">R0187</t>
  </si>
  <si>
    <t xml:space="preserve">Design and Implementation of a Multi-Sensor MEMS-Based Flight Data Monitoring and Tracking System Using Hybrid Communication Networks</t>
  </si>
  <si>
    <t xml:space="preserve">10.1109/ICSyS65149.2025.11379890</t>
  </si>
  <si>
    <t xml:space="preserve">R0188</t>
  </si>
  <si>
    <t xml:space="preserve">Speech-to-Route: Leveraging Large Language Models for Taxi Route Visualization</t>
  </si>
  <si>
    <t xml:space="preserve">R0189</t>
  </si>
  <si>
    <t xml:space="preserve">AviationLMM: A Large Multimodal Foundation Model for Civil Aviation</t>
  </si>
  <si>
    <t xml:space="preserve">10.1109/ICICSE66971.2025.11430020</t>
  </si>
  <si>
    <t xml:space="preserve">R0190</t>
  </si>
  <si>
    <t xml:space="preserve">Adapting Automatic Speech Recognition for Accented Air Traffic Control Communications</t>
  </si>
  <si>
    <t xml:space="preserve">10.1109/ICMCIS64378.2025.11047661</t>
  </si>
  <si>
    <t xml:space="preserve">R0191</t>
  </si>
  <si>
    <t xml:space="preserve">Improved Investigation of Electromagnetic Compatibility Between Radar Sensors and 5G-NR Radios</t>
  </si>
  <si>
    <t xml:space="preserve">10.1117/12.3013749</t>
  </si>
  <si>
    <t xml:space="preserve">R0192</t>
  </si>
  <si>
    <t xml:space="preserve">QoS Prediction for Satellite-Based Avionic Communication Using Transformers</t>
  </si>
  <si>
    <t xml:space="preserve">10.1109/TMLCN.2026.3653719</t>
  </si>
  <si>
    <t xml:space="preserve">R0194</t>
  </si>
  <si>
    <t xml:space="preserve">Advancements in DFMC SBAS Techniques for CAT II Autoland</t>
  </si>
  <si>
    <t xml:space="preserve">10.33012/2024.19745</t>
  </si>
  <si>
    <t xml:space="preserve">R0195</t>
  </si>
  <si>
    <t xml:space="preserve">Research on the precision optimization of RAIM algorithm based on parity vector in satellite navigation aviation surveillance</t>
  </si>
  <si>
    <t xml:space="preserve">10.1117/12.3107667</t>
  </si>
  <si>
    <t xml:space="preserve">R0196</t>
  </si>
  <si>
    <t xml:space="preserve">Reliability Study in Buck DC-DC Converter Using Markov Models</t>
  </si>
  <si>
    <t xml:space="preserve">10.1109/COMSCI63166.2024.10778523</t>
  </si>
  <si>
    <t xml:space="preserve">R0199</t>
  </si>
  <si>
    <t xml:space="preserve">Secure Systems for the Air Force with 5G Communication: Improving Network Resilience and Real-Time Data Exchange for High-Intensity Operations</t>
  </si>
  <si>
    <t xml:space="preserve">10.1109/ICDSAAI69492.2026.11505211</t>
  </si>
  <si>
    <t xml:space="preserve">R0200</t>
  </si>
  <si>
    <t xml:space="preserve">Toward Smart Skies: Reviewing the State of the Art and Challenges for Intelligent Air Transportation Systems (IATS)</t>
  </si>
  <si>
    <t xml:space="preserve">10.1109/TITS.2024.3415588</t>
  </si>
  <si>
    <t xml:space="preserve">R0201</t>
  </si>
  <si>
    <t xml:space="preserve">About Scattering Properties of Civil Aviation Aircraft Antennas</t>
  </si>
  <si>
    <t xml:space="preserve">10.1109/SYNCHROINFO61835.2024.10617579</t>
  </si>
  <si>
    <t xml:space="preserve">R0202</t>
  </si>
  <si>
    <t xml:space="preserve">P4-Based Emulation of LoWPAN and RPL Networks for Aviation Telemetry and Communication</t>
  </si>
  <si>
    <t xml:space="preserve">10.23919/CNSM67658.2025.11297517</t>
  </si>
  <si>
    <t xml:space="preserve">R0203</t>
  </si>
  <si>
    <t xml:space="preserve">A Novel Compact DGS Antenna with Concentric-Ring Structure for Aviation Use</t>
  </si>
  <si>
    <t xml:space="preserve">10.1109/ICoCET66176.2025.11233015</t>
  </si>
  <si>
    <t xml:space="preserve">R0205</t>
  </si>
  <si>
    <t xml:space="preserve">QoS optimization strategy based on D-GNN for LEO satellite-assisted aviation networks</t>
  </si>
  <si>
    <t xml:space="preserve">10.1016/j.comnet.2025.111741</t>
  </si>
  <si>
    <t xml:space="preserve">R0206</t>
  </si>
  <si>
    <t xml:space="preserve">Geographic Information Systems for Aviation Incident Management: Application to Kuwait International Airport</t>
  </si>
  <si>
    <t xml:space="preserve">10.1007/978-981-99-8031-4_39</t>
  </si>
  <si>
    <t xml:space="preserve">R0208</t>
  </si>
  <si>
    <t xml:space="preserve">In-Domain SSL Pre-training and Streaming ASR: Application to Air Traffic Control Communications</t>
  </si>
  <si>
    <t xml:space="preserve">10.1007/978-3-032-07959-6_1</t>
  </si>
  <si>
    <t xml:space="preserve">R0209</t>
  </si>
  <si>
    <t xml:space="preserve">RAN, the Italian Augmentation and Integrity Monitoring Network for High Accuracy High Integrity Positioning for Rail and Road Applications</t>
  </si>
  <si>
    <t xml:space="preserve">10.33012/2025.20268</t>
  </si>
  <si>
    <t xml:space="preserve">R0210</t>
  </si>
  <si>
    <t xml:space="preserve">CO-Mode with AV-CRM: A novel paradigm towards human–machine collaboration in intelligent vehicle safety</t>
  </si>
  <si>
    <t xml:space="preserve">10.1016/j.jnlssr.2025.04.002</t>
  </si>
  <si>
    <t xml:space="preserve">R0212</t>
  </si>
  <si>
    <t xml:space="preserve">Ethical crisis communication and distributed accountability in algorithmically managed transport systems: a normative governance framework</t>
  </si>
  <si>
    <t xml:space="preserve">10.1108/JICES-12-2025-0375</t>
  </si>
  <si>
    <t xml:space="preserve">R0213</t>
  </si>
  <si>
    <t xml:space="preserve">Marketing Preferences for Paid versus Free Digital Platforms and AI-powered Tools in Aviation English Language Learning</t>
  </si>
  <si>
    <t xml:space="preserve">10.1109/NTAD67887.2025.11302600</t>
  </si>
  <si>
    <t xml:space="preserve">R0214</t>
  </si>
  <si>
    <t xml:space="preserve">Design of a Dashboard for Enroute Traffic Operations Using Open-Source Data</t>
  </si>
  <si>
    <t xml:space="preserve">10.1109/ICNS69853.2026.11570315</t>
  </si>
  <si>
    <t xml:space="preserve">R0215</t>
  </si>
  <si>
    <t xml:space="preserve">Mid-Air Collision Risk for Urban Air Mobility: A Review</t>
  </si>
  <si>
    <t xml:space="preserve">10.3390/drones10030211</t>
  </si>
  <si>
    <t xml:space="preserve">R0216</t>
  </si>
  <si>
    <t xml:space="preserve">Virtual Traffic Control Environment (SATCE) in Flight Training: The Purdue Case Study</t>
  </si>
  <si>
    <t xml:space="preserve">10.54941/ahfe1004565</t>
  </si>
  <si>
    <t xml:space="preserve">R0217</t>
  </si>
  <si>
    <t xml:space="preserve">Cognitive Radio–Based Ionospheric Scintillation Detection: A Low-Cost Framework for GNSS Detection and Monitoring in Equatorial Regions</t>
  </si>
  <si>
    <t xml:space="preserve">10.3390/s26061765</t>
  </si>
  <si>
    <t xml:space="preserve">R0218</t>
  </si>
  <si>
    <t xml:space="preserve">Cryptographic Enhancements for UA C2 Links: Performance Evaluation of Secure MAVLink Communication</t>
  </si>
  <si>
    <t xml:space="preserve">10.1109/LATINCOM67778.2025.11345375</t>
  </si>
  <si>
    <t xml:space="preserve">R0219</t>
  </si>
  <si>
    <t xml:space="preserve">Digital Traffic Lights: UAS Collision Avoidance Strategy for Advanced Air Mobility Services</t>
  </si>
  <si>
    <t xml:space="preserve">10.3390/drones8100590</t>
  </si>
  <si>
    <t xml:space="preserve">R0220</t>
  </si>
  <si>
    <t xml:space="preserve">Evaluating Handcrafted Image Descriptors for Defect Detection in the X-Ray Inspection of Turbine Blade Castings: A Feature Separability Study</t>
  </si>
  <si>
    <t xml:space="preserve">10.3390/app16083905</t>
  </si>
  <si>
    <t xml:space="preserve">R0223</t>
  </si>
  <si>
    <t xml:space="preserve">Aircraft Classification through Deep Learning based Diarization of Pilot Vocal Signature</t>
  </si>
  <si>
    <t xml:space="preserve">10.1109/SPACE65882.2025.11170818</t>
  </si>
  <si>
    <t xml:space="preserve">R0225</t>
  </si>
  <si>
    <t xml:space="preserve">Joint Trajectory and Spectrum Optimization in Advanced Air Mobility via Multi-Agent Deep Reinforcement Learning</t>
  </si>
  <si>
    <t xml:space="preserve">10.1109/VTC2025-Spring65109.2025.11174648</t>
  </si>
  <si>
    <t xml:space="preserve">R0226</t>
  </si>
  <si>
    <t xml:space="preserve">Systematic review of trends in deep learning for UAV cybersecurity</t>
  </si>
  <si>
    <t xml:space="preserve">10.3389/frai.2026.1752124</t>
  </si>
  <si>
    <t xml:space="preserve">R0227</t>
  </si>
  <si>
    <t xml:space="preserve">Optimization-Driven Learning for Leakage-Controlled Geospatial Modeling of Antenna Structure Registration Data</t>
  </si>
  <si>
    <t xml:space="preserve">10.1109/ACCESS.2026.3657224</t>
  </si>
  <si>
    <t xml:space="preserve">R0228</t>
  </si>
  <si>
    <t xml:space="preserve">Automatic Recognition of FM Signals Based on FFT Spectrum Analysis</t>
  </si>
  <si>
    <t xml:space="preserve">10.1109/IWCMC61514.2024.10592429</t>
  </si>
  <si>
    <t xml:space="preserve">R0229</t>
  </si>
  <si>
    <t xml:space="preserve">A SWIPT-Based Relay Concept with Co-Designed Antenna and Rectenna for Wireless Structural Health Monitoring</t>
  </si>
  <si>
    <t xml:space="preserve">10.1109/CISCE69494.2026.11504688</t>
  </si>
  <si>
    <t xml:space="preserve">R0230</t>
  </si>
  <si>
    <t xml:space="preserve">Adaptive AI Routing in LEO CubeSat Networks to Ensuring Integrity and Resilient Backup Link for CNS/APNT Applications</t>
  </si>
  <si>
    <t xml:space="preserve">10.1109/ICNS69853.2026.11570640</t>
  </si>
  <si>
    <t xml:space="preserve">R0231</t>
  </si>
  <si>
    <t xml:space="preserve">Installation design consideration and airworthiness certification of the BDS-3 short message tracking system for civil aircraft</t>
  </si>
  <si>
    <t xml:space="preserve">10.1117/12.3083135</t>
  </si>
  <si>
    <t xml:space="preserve">R0232</t>
  </si>
  <si>
    <t xml:space="preserve">RAIM Availability of GPS/BDS/Galileo Multi-Frequency Combination</t>
  </si>
  <si>
    <t xml:space="preserve">10.1134/S2075108725700208</t>
  </si>
  <si>
    <t xml:space="preserve">R0233</t>
  </si>
  <si>
    <t xml:space="preserve">Demonstration of wireless synchronisation methods in autonomously controlled fleet of drones</t>
  </si>
  <si>
    <t xml:space="preserve">10.1504/IJMNDI.2024.136443</t>
  </si>
  <si>
    <t xml:space="preserve">R0236</t>
  </si>
  <si>
    <t xml:space="preserve">MCTB-GPSR: Aeronautical Ad Hoc Networks Movement Change Triggers Beacon Routing based on GPSR</t>
  </si>
  <si>
    <t xml:space="preserve">10.1117/12.3026625</t>
  </si>
  <si>
    <t xml:space="preserve">R0237</t>
  </si>
  <si>
    <t xml:space="preserve">Empowering Mode-S Radar Systems With Comprehensive Interrogation and Reply Simulation</t>
  </si>
  <si>
    <t xml:space="preserve">10.1109/ICJECE.2024.3392875</t>
  </si>
  <si>
    <t xml:space="preserve">R0238</t>
  </si>
  <si>
    <t xml:space="preserve">Strengthening the Capacity and Performance of VHF Datalink Networks in High-Density Airspace</t>
  </si>
  <si>
    <t xml:space="preserve">10.1109/ICNS69853.2026.11570395</t>
  </si>
  <si>
    <t xml:space="preserve">R0239</t>
  </si>
  <si>
    <t xml:space="preserve">Internet of things and aviation: a bibliometric and visualization analysis</t>
  </si>
  <si>
    <t xml:space="preserve">10.1108/K-04-2023-0664</t>
  </si>
  <si>
    <t xml:space="preserve">R0240</t>
  </si>
  <si>
    <t xml:space="preserve">Ground-Based Aircraft Recorders: Requirements, Challenges, Implementations, and Future Perspectives</t>
  </si>
  <si>
    <t xml:space="preserve">10.1109/MCOM.001.2300779</t>
  </si>
  <si>
    <t xml:space="preserve">R0241</t>
  </si>
  <si>
    <t xml:space="preserve">Integration of Foundation Models and Federated Learning in AIoT-Based Aircraft Health Monitoring Systems</t>
  </si>
  <si>
    <t xml:space="preserve">10.3390/math12213428</t>
  </si>
  <si>
    <t xml:space="preserve">R0242</t>
  </si>
  <si>
    <t xml:space="preserve">Satellite Multi-Beam Collaborative Scheduling in Satellite Aviation Communications</t>
  </si>
  <si>
    <t xml:space="preserve">10.1109/TWC.2023.3295382</t>
  </si>
  <si>
    <t xml:space="preserve">R0243</t>
  </si>
  <si>
    <t xml:space="preserve">Optimizing Traffic Management in Airborne Power Line Communication Networks: A Credit-Based Shaping Approach Using Network Calculus</t>
  </si>
  <si>
    <t xml:space="preserve">10.1109/TNSM.2025.3529871</t>
  </si>
  <si>
    <t xml:space="preserve">R0244</t>
  </si>
  <si>
    <t xml:space="preserve">An Immersive System Through a Two-Axis Haptic Chair for Integration in Flight Simulation Environments</t>
  </si>
  <si>
    <t xml:space="preserve">10.1007/978-3-032-16848-1_20</t>
  </si>
  <si>
    <t xml:space="preserve">R0245</t>
  </si>
  <si>
    <t xml:space="preserve">Enhancing aviation safety and efficiency: applying artificial intelligence (AI) to address navigational challenges</t>
  </si>
  <si>
    <t xml:space="preserve">10.1007/s00521-025-11544-4</t>
  </si>
  <si>
    <t xml:space="preserve">R0246</t>
  </si>
  <si>
    <t xml:space="preserve">Advancements in Speech Recognition: Exploring Feature Extraction Techniques for Enhanced Accuracy and Human-Machine Communication</t>
  </si>
  <si>
    <t xml:space="preserve">10.1109/ICAECT60202.2024.10468885</t>
  </si>
  <si>
    <t xml:space="preserve">R0247</t>
  </si>
  <si>
    <t xml:space="preserve">Investigation of Ionospheric Scintillation Effects for Satellite Communications in VHF Band</t>
  </si>
  <si>
    <t xml:space="preserve">10.1109/ANTEM64578.2025.11114203</t>
  </si>
  <si>
    <t xml:space="preserve">R0248</t>
  </si>
  <si>
    <t xml:space="preserve">NEMO Routing Optimization for Aviation Communication Based on Simulated Annealing Algorithm</t>
  </si>
  <si>
    <t xml:space="preserve">10.1145/3617184.3630134</t>
  </si>
  <si>
    <t xml:space="preserve">R0249</t>
  </si>
  <si>
    <t xml:space="preserve">Aviation Safety Simulation Study on the Impact of Turbulence on Unmanned Aircraft Systems Management</t>
  </si>
  <si>
    <t xml:space="preserve">10.1109/InfoTech67177.2025.11175960</t>
  </si>
  <si>
    <t xml:space="preserve">R0250</t>
  </si>
  <si>
    <t xml:space="preserve">Resource Allocation for Satellite-Integrated Urban Air Mobility Networks in 6G</t>
  </si>
  <si>
    <t xml:space="preserve">10.1109/ICTC62082.2024.10826974</t>
  </si>
  <si>
    <t xml:space="preserve">R0251</t>
  </si>
  <si>
    <t xml:space="preserve">Development and Performance Evaluation of a Neuro-Based Software for Modelling of Orbital Properties of Satellites</t>
  </si>
  <si>
    <t xml:space="preserve">10.1109/NIGERCON62786.2024.10927000</t>
  </si>
  <si>
    <t xml:space="preserve">R0252</t>
  </si>
  <si>
    <t xml:space="preserve">Impact Evaluation of DME Beacons on BeiDou B2a Signal Reception Performance</t>
  </si>
  <si>
    <t xml:space="preserve">10.3390/s25123763</t>
  </si>
  <si>
    <t xml:space="preserve">R0254</t>
  </si>
  <si>
    <t xml:space="preserve">The Impact of Beidou Signal Digital Distortion and Receiver Parameters on Positioning Accuracy for Aviation Differential Users</t>
  </si>
  <si>
    <t xml:space="preserve">10.1109/EIT63098.2024.10762195</t>
  </si>
  <si>
    <t xml:space="preserve">R0255</t>
  </si>
  <si>
    <t xml:space="preserve">The Role of Human Factors in the Certification of eVTOLs in the Artificial Intelligence (AI) Era</t>
  </si>
  <si>
    <t xml:space="preserve">10.54941/ahfe1006504</t>
  </si>
  <si>
    <t xml:space="preserve">R0256</t>
  </si>
  <si>
    <t xml:space="preserve">Getting Closer to the ATM Digitalization Through the Future Digital Communication Infrastructure</t>
  </si>
  <si>
    <t xml:space="preserve">10.1109/ICNS65417.2025.10976821</t>
  </si>
  <si>
    <t xml:space="preserve">R0257</t>
  </si>
  <si>
    <t xml:space="preserve">A Study of Direction-of-Arrival Estimation with an Improved Monopulse Ratio Curve Using Beamforming for an Active Phased Array Antenna System</t>
  </si>
  <si>
    <t xml:space="preserve">10.3390/electronics12244906</t>
  </si>
  <si>
    <t xml:space="preserve">R0258</t>
  </si>
  <si>
    <t xml:space="preserve">Implementation of CSMA with GNU-Radio for Secure and Efficient Communication Between Cabin Crew and Cockpit</t>
  </si>
  <si>
    <t xml:space="preserve">10.1109/ICCR67387.2025.11291835</t>
  </si>
  <si>
    <t xml:space="preserve">R0260</t>
  </si>
  <si>
    <t xml:space="preserve">Intelligent System Luggage Lock Using NFC and NiMH Battery Supply</t>
  </si>
  <si>
    <t xml:space="preserve">10.1109/TIME-E62724.2024.10919780</t>
  </si>
  <si>
    <t xml:space="preserve">R0261</t>
  </si>
  <si>
    <t xml:space="preserve">Simulation of wind-related hazards avoidance when UAS operation in urban environment</t>
  </si>
  <si>
    <t xml:space="preserve">R0262</t>
  </si>
  <si>
    <t xml:space="preserve">Models for Intelligent Management Telecommunications into Transport Logistics of Data Economy</t>
  </si>
  <si>
    <t xml:space="preserve">10.1007/978-3-032-04761-8_1</t>
  </si>
  <si>
    <t xml:space="preserve">R0263</t>
  </si>
  <si>
    <t xml:space="preserve">From Speech to Structured Commands: Leveraging Speech-to-Text Models and Schema-Constrained LLMs for Robust Command Recognition in Aviation</t>
  </si>
  <si>
    <t xml:space="preserve">10.1109/CogSIMA68896.2026.11481218</t>
  </si>
  <si>
    <t xml:space="preserve">R0264</t>
  </si>
  <si>
    <t xml:space="preserve">Slice combination convolutional neural network based radio frequency fingerprint identification for Internet of Things</t>
  </si>
  <si>
    <t xml:space="preserve">10.1007/s11276-023-03241-8</t>
  </si>
  <si>
    <t xml:space="preserve">R0266</t>
  </si>
  <si>
    <t xml:space="preserve">Lost in Transcription, Found in Distribution Shift: Demystifying Hallucination in Speech Foundation Models</t>
  </si>
  <si>
    <t xml:space="preserve">10.18653/v1/2025.findings-acl.1190</t>
  </si>
  <si>
    <t xml:space="preserve">R0267</t>
  </si>
  <si>
    <t xml:space="preserve">Deployment Protection for Interference of 5G Base Stations with Aeronautical Radio Altimeters</t>
  </si>
  <si>
    <t xml:space="preserve">10.3390/s24072313</t>
  </si>
  <si>
    <t xml:space="preserve">R0268</t>
  </si>
  <si>
    <t xml:space="preserve">HUMAN FACTOR ANALYSIS OF HELICOPTER ACCIDENTS USING LARGE LANGUAGE MODELS</t>
  </si>
  <si>
    <t xml:space="preserve">10.1115/DETC2025-169494</t>
  </si>
  <si>
    <t xml:space="preserve">R0269</t>
  </si>
  <si>
    <t xml:space="preserve">Increasing Accessibility to Undergraduate Research: A Semester-Long, Course-Based Research Model to Enhance the Engineering Classroom</t>
  </si>
  <si>
    <t xml:space="preserve">10.1109/FIE61694.2024.10893001</t>
  </si>
  <si>
    <t xml:space="preserve">R0270</t>
  </si>
  <si>
    <t xml:space="preserve">Analysis of Communication Modulation Scheme for High Data Transmission in Advanced Air Mobility Environments</t>
  </si>
  <si>
    <t xml:space="preserve">10.1109/ICTC62082.2024.10827538</t>
  </si>
  <si>
    <t xml:space="preserve">R0271</t>
  </si>
  <si>
    <t xml:space="preserve">Error-State Kalman Filter for Autonomous Celestial-Based Navigation</t>
  </si>
  <si>
    <t xml:space="preserve">10.23919/FUSION65864.2025.11124185</t>
  </si>
  <si>
    <t xml:space="preserve">R0272</t>
  </si>
  <si>
    <t xml:space="preserve">Harnessing Legacy Air Platforms Data with NLP for AI Training</t>
  </si>
  <si>
    <t xml:space="preserve">10.1109/ISSE65546.2025.11370049</t>
  </si>
  <si>
    <t xml:space="preserve">R0274</t>
  </si>
  <si>
    <t xml:space="preserve">Optimized Application of ADS-B Technology in Aircraft Collision Avoidance System</t>
  </si>
  <si>
    <t xml:space="preserve">10.1007/978-981-96-0208-7_69</t>
  </si>
  <si>
    <t xml:space="preserve">R0275</t>
  </si>
  <si>
    <t xml:space="preserve">Aviation Power-System Maintenance: Challenges, Innovations, and Operational Continuity</t>
  </si>
  <si>
    <t xml:space="preserve">10.1109/NIGERCON62786.2024.10927304</t>
  </si>
  <si>
    <t xml:space="preserve">R0276</t>
  </si>
  <si>
    <t xml:space="preserve">Vision-Based Multi-UAV Cooperative Target Tracking and Control Technology</t>
  </si>
  <si>
    <t xml:space="preserve">10.1109/ICAISISAS64483.2025.11051767</t>
  </si>
  <si>
    <t xml:space="preserve">R0277</t>
  </si>
  <si>
    <t xml:space="preserve">A compact wideband circularly polarized fractal slot antenna with rectangular island for X-band satellite applications</t>
  </si>
  <si>
    <t xml:space="preserve">10.1080/23311916.2024.2322813</t>
  </si>
  <si>
    <t xml:space="preserve">R0278</t>
  </si>
  <si>
    <t xml:space="preserve">Design and Development of Autonomous Drone Traffic Control System</t>
  </si>
  <si>
    <t xml:space="preserve">10.1109/AIMLA63829.2025.11040927</t>
  </si>
  <si>
    <t xml:space="preserve">R0279</t>
  </si>
  <si>
    <t xml:space="preserve">Towards a Model-Based Systems Engineering Framework for the Design and Configuration of Communication Networks in a Data-Driven and Interconnected Aircraft Cabin</t>
  </si>
  <si>
    <t xml:space="preserve">10.1145/3652620.3687425</t>
  </si>
  <si>
    <t xml:space="preserve">R0280</t>
  </si>
  <si>
    <t xml:space="preserve">Enhancing Airspace Operational Efficiency: GIS-Enabled Innovation in ALTRV Request Management</t>
  </si>
  <si>
    <t xml:space="preserve">10.1109/ICNS65417.2025.10976900</t>
  </si>
  <si>
    <t xml:space="preserve">R0281</t>
  </si>
  <si>
    <t xml:space="preserve">Real-Time Aircraft Maintenance Training via XR with Haptic Feedback</t>
  </si>
  <si>
    <t xml:space="preserve">10.1109/IETACS68750.2025.11385525</t>
  </si>
  <si>
    <t xml:space="preserve">R0282</t>
  </si>
  <si>
    <t xml:space="preserve">Detecting Attribute Information in Notice to Airman</t>
  </si>
  <si>
    <t xml:space="preserve">10.1007/978-3-031-70242-6_19</t>
  </si>
  <si>
    <t xml:space="preserve">R0283</t>
  </si>
  <si>
    <t xml:space="preserve">Exploring the Potential of AI-Driven Chatbots With a Focus on SkyTutor in Aviation English</t>
  </si>
  <si>
    <t xml:space="preserve">10.4018/979-8-3373-7574-8.ch009</t>
  </si>
  <si>
    <t xml:space="preserve">R0284</t>
  </si>
  <si>
    <t xml:space="preserve">From GEO to LEO: First Look into Starlink In-Flight Connectivity</t>
  </si>
  <si>
    <t xml:space="preserve">10.1145/3730567.3764491</t>
  </si>
  <si>
    <t xml:space="preserve">R0285</t>
  </si>
  <si>
    <t xml:space="preserve">Enhancing Flight Deck Resilience and Optimizing Risk Mitigation: A Sociotechnical Approach</t>
  </si>
  <si>
    <t xml:space="preserve">10.54941/ahfe1005764</t>
  </si>
  <si>
    <t xml:space="preserve">R0286</t>
  </si>
  <si>
    <t xml:space="preserve">Rhythmic Resource State Sensing in LEO-MEO Satellite Networks Using Deep Reinforcement Learning</t>
  </si>
  <si>
    <t xml:space="preserve">10.1109/JIOT.2026.3685760</t>
  </si>
  <si>
    <t xml:space="preserve">R0287</t>
  </si>
  <si>
    <t xml:space="preserve">Satellite-Based System for CNS of Suborbital and Hypersonic Flights</t>
  </si>
  <si>
    <t xml:space="preserve">10.1109/ICNS65417.2025.10976804</t>
  </si>
  <si>
    <t xml:space="preserve">R0288</t>
  </si>
  <si>
    <t xml:space="preserve">Comparative Analysis of Multi-Link Selection Strategies for Next-Generation Aeronautical Communications</t>
  </si>
  <si>
    <t xml:space="preserve">10.1109/ACCESS.2025.3638903</t>
  </si>
  <si>
    <t xml:space="preserve">R0289</t>
  </si>
  <si>
    <t xml:space="preserve">Analytical Performance Comparison of IoT Communication Protocols MQTT and CoAP from Security Perspective</t>
  </si>
  <si>
    <t xml:space="preserve">10.1109/ODICON62106.2024.10797474</t>
  </si>
  <si>
    <t xml:space="preserve">R0290</t>
  </si>
  <si>
    <t xml:space="preserve">An AI-Enhanced Quantum Key Management for Cloud-Based Aviation Communication Systems</t>
  </si>
  <si>
    <t xml:space="preserve">10.48084/etasr.14245</t>
  </si>
  <si>
    <t xml:space="preserve">R0291</t>
  </si>
  <si>
    <t xml:space="preserve">Research on the performance of nano-scale AR films for airborne optical cable components based on process parameter regulation</t>
  </si>
  <si>
    <t xml:space="preserve">10.1117/12.3075805</t>
  </si>
  <si>
    <t xml:space="preserve">R0292</t>
  </si>
  <si>
    <t xml:space="preserve">A Review of the Information Exchange System in the Aeronautical Network, the Case of Albania</t>
  </si>
  <si>
    <t xml:space="preserve">10.1109/SoSE66311.2025.11083844</t>
  </si>
  <si>
    <t xml:space="preserve">R0293</t>
  </si>
  <si>
    <t xml:space="preserve">Dynamic Airspace Re-configuration for Manned and Unmanned Operations in Shared Airspace</t>
  </si>
  <si>
    <t xml:space="preserve">10.1109/ICNS60906.2024.10550738</t>
  </si>
  <si>
    <t xml:space="preserve">R0294</t>
  </si>
  <si>
    <t xml:space="preserve">Design of Integrated Satellite-terrestrial Position Monitoring Terminal for General Aviation Aircraft</t>
  </si>
  <si>
    <t xml:space="preserve">10.1109/ECIS65594.2025.11087061</t>
  </si>
  <si>
    <t xml:space="preserve">R0296</t>
  </si>
  <si>
    <t xml:space="preserve">Electromagnetic interference suppression technology of power system and civil aviation communication navigation monitoring equipment</t>
  </si>
  <si>
    <t xml:space="preserve">10.1117/12.3026622</t>
  </si>
  <si>
    <t xml:space="preserve">R0297</t>
  </si>
  <si>
    <t xml:space="preserve">Stochastic Analysis of LEO Satellite Backhaul Connectivity over Great-Circle Airline Routes</t>
  </si>
  <si>
    <t xml:space="preserve">10.1109/ICTC66702.2025.11388991</t>
  </si>
  <si>
    <t xml:space="preserve">R0298</t>
  </si>
  <si>
    <t xml:space="preserve">Multiple-Antenna Aided Aeronautical Communications in Air-Ground Integrated Networks: Channel Estimation, Reliable Transmission, and Multiple Access</t>
  </si>
  <si>
    <t xml:space="preserve">10.1109/MWC.014.2200414</t>
  </si>
  <si>
    <t xml:space="preserve">R0299</t>
  </si>
  <si>
    <t xml:space="preserve">Joint Velocity and Spectrum Optimization in Urban Air Transportation System via Multi-Agent Deep Reinforcement Learning</t>
  </si>
  <si>
    <t xml:space="preserve">10.1109/TVT.2023.3256067</t>
  </si>
  <si>
    <t xml:space="preserve">R0300</t>
  </si>
  <si>
    <t xml:space="preserve">Cultural Dynamics in Next-Generation Cockpit Design: Integrating Human Factors, Inclusivity, and System Resilience in Transportation Aviation</t>
  </si>
  <si>
    <t xml:space="preserve">10.54941/ahfe1007086</t>
  </si>
  <si>
    <t xml:space="preserve">R0301</t>
  </si>
  <si>
    <t xml:space="preserve">DroneCAST - Physical Layer Design and Measurement-based Simulation Analysis for Urban Drone-to-Drone Communication Scenarios</t>
  </si>
  <si>
    <t xml:space="preserve">10.1109/VTC2024-Fall63153.2024.10757471</t>
  </si>
  <si>
    <t xml:space="preserve">R0302</t>
  </si>
  <si>
    <t xml:space="preserve">Autonomous aircraft surveillance for controlling laser beam transmission into the sky</t>
  </si>
  <si>
    <t xml:space="preserve">10.1117/12.3002890</t>
  </si>
  <si>
    <t xml:space="preserve">R0303</t>
  </si>
  <si>
    <t xml:space="preserve">Research and application of 5G-based smart airport terminal security access</t>
  </si>
  <si>
    <t xml:space="preserve">10.1117/12.3025940</t>
  </si>
  <si>
    <t xml:space="preserve">R0304</t>
  </si>
  <si>
    <t xml:space="preserve">Business Model Management Based on Information and Communication Technologies in the Economic Security System of Aviation Enterprises</t>
  </si>
  <si>
    <t xml:space="preserve">10.1109/ACIT65614.2025.11185623</t>
  </si>
  <si>
    <t xml:space="preserve">R0305</t>
  </si>
  <si>
    <t xml:space="preserve">Real-Time Passenger Orientation and Adaptation System for Zero-Gravity Environments</t>
  </si>
  <si>
    <t xml:space="preserve">10.1109/IETACS68750.2025.11385398</t>
  </si>
  <si>
    <t xml:space="preserve">R0306</t>
  </si>
  <si>
    <t xml:space="preserve">Knowledge Types, Mechanisms, and Media in Survey Aviation: Case Study and Implications</t>
  </si>
  <si>
    <t xml:space="preserve">R0308</t>
  </si>
  <si>
    <t xml:space="preserve">Electromagnetic Interference Effect of Portable Electronic Device with Satellite Communication to GPS Antenna</t>
  </si>
  <si>
    <t xml:space="preserve">10.3390/s25144438</t>
  </si>
  <si>
    <t xml:space="preserve">R0309</t>
  </si>
  <si>
    <t xml:space="preserve">Global Reporting Format Automation Under Rain: Runways Conditions Monitoring in Real-Time Using Integrated Sensing and Communication Technology</t>
  </si>
  <si>
    <t xml:space="preserve">10.1002/eng2.70043</t>
  </si>
  <si>
    <t xml:space="preserve">R0310</t>
  </si>
  <si>
    <t xml:space="preserve">An Automated and Secure Data Acquisition Service for Aviation Meteorology</t>
  </si>
  <si>
    <t xml:space="preserve">10.1109/IMCEC66174.2025.11331893</t>
  </si>
  <si>
    <t xml:space="preserve">R0311</t>
  </si>
  <si>
    <t xml:space="preserve">Cooperative Localization under Ionospheric Scintillation Events</t>
  </si>
  <si>
    <t xml:space="preserve">10.1186/s13634-024-01140-4</t>
  </si>
  <si>
    <t xml:space="preserve">R0312</t>
  </si>
  <si>
    <t xml:space="preserve">GNSS Analysis Performance System for GNSS signal Characterization in Critical Applications</t>
  </si>
  <si>
    <t xml:space="preserve">10.33012/2025.20248</t>
  </si>
  <si>
    <t xml:space="preserve">R0313</t>
  </si>
  <si>
    <t xml:space="preserve">'The Crossed Loop Antenna'</t>
  </si>
  <si>
    <t xml:space="preserve">10.1109/iWAT64079.2025.10931230</t>
  </si>
  <si>
    <t xml:space="preserve">R0314</t>
  </si>
  <si>
    <t xml:space="preserve">Aircraft Localization by Interacting Multiple Model Filtering in Wide Area Multilateration</t>
  </si>
  <si>
    <t xml:space="preserve">10.23919/FUSION59988.2024.10706387</t>
  </si>
  <si>
    <t xml:space="preserve">R0315</t>
  </si>
  <si>
    <t xml:space="preserve">Research on Real-Time Speech Recognition Model for Aircraft Cockpit Audio</t>
  </si>
  <si>
    <t xml:space="preserve">10.1109/GAIIS69281.2026.11519291</t>
  </si>
  <si>
    <t xml:space="preserve">R0317</t>
  </si>
  <si>
    <t xml:space="preserve">Enhancing security and robustness of Cyphal on Controller Area Network in unmanned aerial vehicle environments</t>
  </si>
  <si>
    <t xml:space="preserve">10.1016/j.cose.2023.103481</t>
  </si>
  <si>
    <t xml:space="preserve">R0318</t>
  </si>
  <si>
    <t xml:space="preserve">Towards Cloud-Native RAN for 6G NTN-Based Connectivity in Aviation</t>
  </si>
  <si>
    <t xml:space="preserve">10.1109/FNWF66845.2025.11317176</t>
  </si>
  <si>
    <t xml:space="preserve">R0319</t>
  </si>
  <si>
    <t xml:space="preserve">Design of a Universal Safety Control Computer for Aerostats</t>
  </si>
  <si>
    <t xml:space="preserve">10.3390/electronics14091880</t>
  </si>
  <si>
    <t xml:space="preserve">R0321</t>
  </si>
  <si>
    <t xml:space="preserve">Quantifying narrowband interference using deep learning models with explainable AI Integration</t>
  </si>
  <si>
    <t xml:space="preserve">10.1117/12.3054666</t>
  </si>
  <si>
    <t xml:space="preserve">R0322</t>
  </si>
  <si>
    <t xml:space="preserve">Edge Intelligence in Civil Aviation: Paradigms, Techniques, and Applications</t>
  </si>
  <si>
    <t xml:space="preserve">10.1109/ICICSE66971.2025.11429888</t>
  </si>
  <si>
    <t xml:space="preserve">R0323</t>
  </si>
  <si>
    <t xml:space="preserve">Assurance Technology to Ensure Safety-Critical Information for Flight Operations</t>
  </si>
  <si>
    <t xml:space="preserve">10.1109/GCCE62371.2024.10760951</t>
  </si>
  <si>
    <t xml:space="preserve">R0324</t>
  </si>
  <si>
    <t xml:space="preserve">A Broadband Circularly Polarized Antenna Array Based on Sequential Rotation Feeding</t>
  </si>
  <si>
    <t xml:space="preserve">10.1109/iWRFAT61200.2024.10594319</t>
  </si>
  <si>
    <t xml:space="preserve">R0325</t>
  </si>
  <si>
    <t xml:space="preserve">A Handover Strategy for Air-to-Ground Communication Based on a Fast Prediction Model</t>
  </si>
  <si>
    <t xml:space="preserve">10.1007/978-981-95-1331-4_26</t>
  </si>
  <si>
    <t xml:space="preserve">R0326</t>
  </si>
  <si>
    <t xml:space="preserve">IRSim: AI Generation of Infrared Images</t>
  </si>
  <si>
    <t xml:space="preserve">10.1109/SoutheastCon63549.2026.11476640</t>
  </si>
  <si>
    <t xml:space="preserve">R0327</t>
  </si>
  <si>
    <t xml:space="preserve">An Examination of UAS Incidents: Characteristics and Safety Considerations</t>
  </si>
  <si>
    <t xml:space="preserve">10.3390/drones9020112</t>
  </si>
  <si>
    <t xml:space="preserve">R0328</t>
  </si>
  <si>
    <t xml:space="preserve">Validation of e-Conspicuity and Conflict Detection and Resolution Services in GA-UAS Encounter</t>
  </si>
  <si>
    <t xml:space="preserve">10.1109/ICNS65417.2025.10976927</t>
  </si>
  <si>
    <t xml:space="preserve">R0329</t>
  </si>
  <si>
    <t xml:space="preserve">Flight Test Results of an Adaptive RF Front-End for Multi-Band SDR in Avionics</t>
  </si>
  <si>
    <t xml:space="preserve">10.1109/ACCESS.2025.3591591</t>
  </si>
  <si>
    <t xml:space="preserve">R0330</t>
  </si>
  <si>
    <t xml:space="preserve">Distinguishing Pilot and Co-Pilot Voices for Voice Controlled Cockpit Using Cepstral Features and Probabilistic Model</t>
  </si>
  <si>
    <t xml:space="preserve">10.1109/RAAICON69033.2025.11502138</t>
  </si>
  <si>
    <t xml:space="preserve">R0331</t>
  </si>
  <si>
    <t xml:space="preserve">Digital Twin-Based SIM Communication and Flight Control for Advanced Air Mobility</t>
  </si>
  <si>
    <t xml:space="preserve">10.1109/TNSE.2025.3586998</t>
  </si>
  <si>
    <t xml:space="preserve">R0332</t>
  </si>
  <si>
    <t xml:space="preserve">5G AeroMACS-Based Object Detection Method for Airport Scenarios</t>
  </si>
  <si>
    <t xml:space="preserve">10.1109/ICNS65417.2025.10976878</t>
  </si>
  <si>
    <t xml:space="preserve">R0333</t>
  </si>
  <si>
    <t xml:space="preserve">Load Characterization and Fatigue Reliability Prediction of Large Aerospace Planetary Gear</t>
  </si>
  <si>
    <t xml:space="preserve">10.1109/DOCS63458.2024.10704265</t>
  </si>
  <si>
    <t xml:space="preserve">R0335</t>
  </si>
  <si>
    <t xml:space="preserve">Air Traffic and Usage Predictions in Avionic Communications using Attention Based VAEGAN Model</t>
  </si>
  <si>
    <t xml:space="preserve">10.1109/ICMLCN59089.2024.10625144</t>
  </si>
  <si>
    <t xml:space="preserve">R0336</t>
  </si>
  <si>
    <t xml:space="preserve">A GNSS Anti-Spoofing Method Based on Parallel Tracking Processing Under Array Antenna Architecture</t>
  </si>
  <si>
    <t xml:space="preserve">10.1109/TVT.2025.3608897</t>
  </si>
  <si>
    <t xml:space="preserve">R0337</t>
  </si>
  <si>
    <t xml:space="preserve">LBCDA: lightweight blockchain-assisted cross-domain authentication scheme with privacy protection for SWIM</t>
  </si>
  <si>
    <t xml:space="preserve">10.1504/IJICS.2025.148457</t>
  </si>
  <si>
    <t xml:space="preserve">R0339</t>
  </si>
  <si>
    <t xml:space="preserve">Black Box++: An Intelligent Iot-Based Flight Data Recorder With Predictive Maintenance and Real-Time Anomaly Detection</t>
  </si>
  <si>
    <t xml:space="preserve">10.1109/ICCCES62661.2026.11437004</t>
  </si>
  <si>
    <t xml:space="preserve">R0340</t>
  </si>
  <si>
    <t xml:space="preserve">Managerial Decisions in Envisioning the Metaverse to Address COVID-19 Challenges in Human Resource Practices</t>
  </si>
  <si>
    <t xml:space="preserve">10.1201/9781032638188-10</t>
  </si>
  <si>
    <t xml:space="preserve">R0342</t>
  </si>
  <si>
    <t xml:space="preserve">Miniaturized Single Element MIMO Antenna Integrated with CSRR for Wi-Fi 6E and X-Band Applications</t>
  </si>
  <si>
    <t xml:space="preserve">10.1007/978-981-96-9196-8_15</t>
  </si>
  <si>
    <t xml:space="preserve">R0344</t>
  </si>
  <si>
    <t xml:space="preserve">RF Front End Combinational Filter for Airborne V/UHF Communication System</t>
  </si>
  <si>
    <t xml:space="preserve">10.1109/WAMS59642.2024.10528138</t>
  </si>
  <si>
    <t xml:space="preserve">R0345</t>
  </si>
  <si>
    <t xml:space="preserve">System Architecture and Approaches to Ensure Reliable Message Delivery for Flight Operations</t>
  </si>
  <si>
    <t xml:space="preserve">10.1109/GCCE65946.2025.11275207</t>
  </si>
  <si>
    <t xml:space="preserve">R0348</t>
  </si>
  <si>
    <t xml:space="preserve">Robust Audio–Visual Speaker Localization in Noisy Aircraft Cabins for Inflight Medical Assistance</t>
  </si>
  <si>
    <t xml:space="preserve">10.3390/s25185827</t>
  </si>
  <si>
    <t xml:space="preserve">R0349</t>
  </si>
  <si>
    <t xml:space="preserve">Benchmarking Large Language Models for Automated Real-Time Air Traffic Communications Understanding</t>
  </si>
  <si>
    <t xml:space="preserve">10.1109/ICNS69853.2026.11570389</t>
  </si>
  <si>
    <t xml:space="preserve">R0350</t>
  </si>
  <si>
    <t xml:space="preserve">Scenarios and System Configuration Analyses of LDACS-SUR and DARN for Validation Campaign in the ASTONISH Project</t>
  </si>
  <si>
    <t xml:space="preserve">R0352</t>
  </si>
  <si>
    <t xml:space="preserve">Formal verification for I²C communication Protocol in aerospace and aviation industries</t>
  </si>
  <si>
    <t xml:space="preserve">10.1016/j.micpro.2026.105252</t>
  </si>
  <si>
    <t xml:space="preserve">R0353</t>
  </si>
  <si>
    <t xml:space="preserve">Identifying sources of interference in civil aviation radio communication</t>
  </si>
  <si>
    <t xml:space="preserve">10.1186/s13634-024-01185-5</t>
  </si>
  <si>
    <t xml:space="preserve">R0354</t>
  </si>
  <si>
    <t xml:space="preserve">IoT-Based-System for Telecom Tower Fire Detection and Aviation Obstruction Light Monitoring</t>
  </si>
  <si>
    <t xml:space="preserve">10.1007/978-3-031-56603-5_6</t>
  </si>
  <si>
    <t xml:space="preserve">R0355</t>
  </si>
  <si>
    <t xml:space="preserve">Software-Defined Networking (SDN)-Enabled Communication Architecture for Intelligent Aircraft Cabins: Design, Implementation, and Performance Evaluation</t>
  </si>
  <si>
    <t xml:space="preserve">10.1109/EIECS67708.2025.11283606</t>
  </si>
  <si>
    <t xml:space="preserve">R0356</t>
  </si>
  <si>
    <t xml:space="preserve">Using Artificial Intelligence to Help Military Aircraft Fly Performance-Based Navigation</t>
  </si>
  <si>
    <t xml:space="preserve">10.1109/ICNS65417.2025.10976785</t>
  </si>
  <si>
    <t xml:space="preserve">R0357</t>
  </si>
  <si>
    <t xml:space="preserve">Evaluating UAVs for Non-Directional Beacon Calibration: A Cost-Effective Alternative to Manned Flight Inspections</t>
  </si>
  <si>
    <t xml:space="preserve">10.3390/drones9080571</t>
  </si>
  <si>
    <t xml:space="preserve">R0358</t>
  </si>
  <si>
    <t xml:space="preserve">Deployment of PTP Microwave IP Radio Links (MIRL) in SHF (3-30 GHz) and EHF (30-300 GHz) Band Spectrum</t>
  </si>
  <si>
    <t xml:space="preserve">10.1109/ICECCME64568.2025.11277498</t>
  </si>
  <si>
    <t xml:space="preserve">R0359</t>
  </si>
  <si>
    <t xml:space="preserve">The Role of Artificial Intelligence (AI) Applications in Aviation Risk Management</t>
  </si>
  <si>
    <t xml:space="preserve">10.54941/ahfe1005892</t>
  </si>
  <si>
    <t xml:space="preserve">R0360</t>
  </si>
  <si>
    <t xml:space="preserve">Interoperable LDACS Reference Implementation and Demonstration Deployment</t>
  </si>
  <si>
    <t xml:space="preserve">10.1109/ICNS69853.2026.11570409</t>
  </si>
  <si>
    <t xml:space="preserve">R0362</t>
  </si>
  <si>
    <t xml:space="preserve">Analysis of an Uncrewed Mishap During Ground Test: A Case Study</t>
  </si>
  <si>
    <t xml:space="preserve">10.1007/s10846-025-02308-2</t>
  </si>
  <si>
    <t xml:space="preserve">R0363</t>
  </si>
  <si>
    <t xml:space="preserve">Training and Simulation: Processes, Challenges and Solutions</t>
  </si>
  <si>
    <t xml:space="preserve">10.1201/9781032710297</t>
  </si>
  <si>
    <t xml:space="preserve">R0364</t>
  </si>
  <si>
    <t xml:space="preserve">Study of ZigBee-Based Communication to Share Operative Weather Information Between UASs in the Frame of Smart Cities Concept</t>
  </si>
  <si>
    <t xml:space="preserve">10.1007/978-3-031-77029-6_6</t>
  </si>
  <si>
    <t xml:space="preserve">R0365</t>
  </si>
  <si>
    <t xml:space="preserve">Innovative Technical Solution of the Regulating Transformer with Two-layer Winding</t>
  </si>
  <si>
    <t xml:space="preserve">10.1007/978-3-031-59238-6_17</t>
  </si>
  <si>
    <t xml:space="preserve">R0366</t>
  </si>
  <si>
    <t xml:space="preserve">Performance Simulation and Analysis of Bdsbas for Civil Aircraft Navigation</t>
  </si>
  <si>
    <t xml:space="preserve">10.1109/ICGMRS70230.2026.11542443</t>
  </si>
  <si>
    <t xml:space="preserve">R0367</t>
  </si>
  <si>
    <t xml:space="preserve">Dispersed-sparsity-aware LMS algorithm for scattering-sparse system identification</t>
  </si>
  <si>
    <t xml:space="preserve">10.1016/j.sigpro.2024.109616</t>
  </si>
  <si>
    <t xml:space="preserve">R0368</t>
  </si>
  <si>
    <t xml:space="preserve">The Air Transportation System as a Subsystem of Modern Communication Space: Analysis Based on Transfer Entropy Graphs</t>
  </si>
  <si>
    <t xml:space="preserve">10.3390/app142311291</t>
  </si>
  <si>
    <t xml:space="preserve">R0369</t>
  </si>
  <si>
    <t xml:space="preserve">Ethics as a Human Factor in Flight Safety: Developing a Training Tool for the Prevention of Ethics-Related Aviation Accidents and Critical Incidents</t>
  </si>
  <si>
    <t xml:space="preserve">10.54941/ahfe1007106</t>
  </si>
  <si>
    <t xml:space="preserve">R0371</t>
  </si>
  <si>
    <t xml:space="preserve">Modernization of GNSS, RNSS, and SBAS</t>
  </si>
  <si>
    <t xml:space="preserve">10.3390/technologies13110494</t>
  </si>
  <si>
    <t xml:space="preserve">R0372</t>
  </si>
  <si>
    <t xml:space="preserve">A spatial–temporal model for network-wide flight delay prediction based on federated learning</t>
  </si>
  <si>
    <t xml:space="preserve">10.1016/j.asoc.2024.111380</t>
  </si>
  <si>
    <t xml:space="preserve">R0373</t>
  </si>
  <si>
    <t xml:space="preserve">ISAC Enabled Cooperative Detection for Cellular-Connected UAV Network</t>
  </si>
  <si>
    <t xml:space="preserve">10.1109/TWC.2024.3509978</t>
  </si>
  <si>
    <t xml:space="preserve">R0374</t>
  </si>
  <si>
    <t xml:space="preserve">Single-Chip Versatile Signal Generator for Navigation</t>
  </si>
  <si>
    <t xml:space="preserve">10.33012/2024.19706</t>
  </si>
  <si>
    <t xml:space="preserve">R0375</t>
  </si>
  <si>
    <t xml:space="preserve">Predicting AAM Path Loss through Neural Networks and Statistical Modeling</t>
  </si>
  <si>
    <t xml:space="preserve">10.1109/ICNS60906.2024.10550570</t>
  </si>
  <si>
    <t xml:space="preserve">R0376</t>
  </si>
  <si>
    <t xml:space="preserve">Estimation Positioning Accuracy for GPS/EGNOS Mode in Ukraine Region</t>
  </si>
  <si>
    <t xml:space="preserve">10.1109/TCSET64720.2024.10755700</t>
  </si>
  <si>
    <t xml:space="preserve">R0377</t>
  </si>
  <si>
    <t xml:space="preserve">Digital Twin Enabled Automated Pin Defect Detection System for Aviation Electrical Connectors Using Structure-Aware Point Cloud</t>
  </si>
  <si>
    <t xml:space="preserve">10.1109/TII.2025.3631743</t>
  </si>
  <si>
    <t xml:space="preserve">R0379</t>
  </si>
  <si>
    <t xml:space="preserve">Multilayer FSS Designed with Wide Band-Notching Characteristics for Electromagnetic Shielding for X Band Applications</t>
  </si>
  <si>
    <t xml:space="preserve">10.1109/WAMS64402.2025.11158479</t>
  </si>
  <si>
    <t xml:space="preserve">R0380</t>
  </si>
  <si>
    <t xml:space="preserve">An Adaptive RF Front-End Architecture for Multi-Band SDR in Avionics</t>
  </si>
  <si>
    <t xml:space="preserve">10.3390/s24185963</t>
  </si>
  <si>
    <t xml:space="preserve">R0382</t>
  </si>
  <si>
    <t xml:space="preserve">Data Cooperative Transmission and Resource Allocation Algorithm in Aviation Communication</t>
  </si>
  <si>
    <t xml:space="preserve">10.1145/3617184.3630128</t>
  </si>
  <si>
    <t xml:space="preserve">R0383</t>
  </si>
  <si>
    <t xml:space="preserve">Modeling and Performance of Aviation VHF Link Control (AVLC) Protocol for VDL Mode 2 System</t>
  </si>
  <si>
    <t xml:space="preserve">10.1109/ECIE69549.2026.11565700</t>
  </si>
  <si>
    <t xml:space="preserve">R0384</t>
  </si>
  <si>
    <t xml:space="preserve">Human Performance in High-Reliability Transportation Systems: The Role of Cultural Intelligence</t>
  </si>
  <si>
    <t xml:space="preserve">10.54941/ahfe1006824</t>
  </si>
  <si>
    <t xml:space="preserve">R0385</t>
  </si>
  <si>
    <t xml:space="preserve">Enabling Technologies for the Navigation and Communication of UAS Operating in the Context of BVLOS</t>
  </si>
  <si>
    <t xml:space="preserve">10.3390/electronics13020340</t>
  </si>
  <si>
    <t xml:space="preserve">R0386</t>
  </si>
  <si>
    <t xml:space="preserve">Cybersecurity as a strategic lever for innovation in smart aviation ecosystems: A review of emerging trends</t>
  </si>
  <si>
    <t xml:space="preserve">10.4018/979-8-3693-6417-8.ch005</t>
  </si>
  <si>
    <t xml:space="preserve">R0387</t>
  </si>
  <si>
    <t xml:space="preserve">High Efficiency Harmonic Suppression Power Amplifier Design Across Quadrature Frequencies</t>
  </si>
  <si>
    <t xml:space="preserve">10.1109/ICMMT61774.2024.10672254</t>
  </si>
  <si>
    <t xml:space="preserve">R0388</t>
  </si>
  <si>
    <t xml:space="preserve">DFMC SBAS Resiliency: Dual-Frequency Service Advantages During 2024 Ionospheric Storms</t>
  </si>
  <si>
    <t xml:space="preserve">10.33012/2025.20359</t>
  </si>
  <si>
    <t xml:space="preserve">R0389</t>
  </si>
  <si>
    <t xml:space="preserve">A-SMGCS: Innovation, Applications, and Future Prospects of Modern Aviation Ground Movement Management System</t>
  </si>
  <si>
    <t xml:space="preserve">10.1007/978-981-97-0065-3_16</t>
  </si>
  <si>
    <t xml:space="preserve">R0390</t>
  </si>
  <si>
    <t xml:space="preserve">One Method for Predicting Satellite Communication Terminal Service Demands Based on Artificial Intelligence Algorithms</t>
  </si>
  <si>
    <t xml:space="preserve">10.3390/app14146019</t>
  </si>
  <si>
    <t xml:space="preserve">R0391</t>
  </si>
  <si>
    <t xml:space="preserve">Analysis of technological requirements for IP-based modernization of aeronautical telecommunication network in Ukraine</t>
  </si>
  <si>
    <t xml:space="preserve">R0392</t>
  </si>
  <si>
    <t xml:space="preserve">The Role of Immersive Technologies in the Design of eVTOL Simulators</t>
  </si>
  <si>
    <t xml:space="preserve">10.54941/ahfe1005869</t>
  </si>
  <si>
    <t xml:space="preserve">R0393</t>
  </si>
  <si>
    <t xml:space="preserve">Unified Aviation Maintenance Ecosystem on the Basis of 6G Technology</t>
  </si>
  <si>
    <t xml:space="preserve">10.3390/electronics13193824</t>
  </si>
  <si>
    <t xml:space="preserve">R0394</t>
  </si>
  <si>
    <t xml:space="preserve">Harnessing Meta-Reinforcement Learning for Enhanced Tracking in Geofencing Systems</t>
  </si>
  <si>
    <t xml:space="preserve">10.1109/OJCOMS.2025.3531318</t>
  </si>
  <si>
    <t xml:space="preserve">R0395</t>
  </si>
  <si>
    <t xml:space="preserve">The Development of an Automated Technology for Unmanned Aircraft CNS/UTM in Compliance with Safety and Security Measures of the State</t>
  </si>
  <si>
    <t xml:space="preserve">10.1109/ICNS65417.2025.10976926</t>
  </si>
  <si>
    <t xml:space="preserve">R0396</t>
  </si>
  <si>
    <t xml:space="preserve">Dynamic multi-target jamming channel allocation and power decision-making in wireless communication networks: A multi-agent deep reinforcement learning approach</t>
  </si>
  <si>
    <t xml:space="preserve">10.23919/JCC.ja.2023-0573</t>
  </si>
  <si>
    <t xml:space="preserve">R0397</t>
  </si>
  <si>
    <t xml:space="preserve">Design and Optimization of Controlled Reception Pattern Array (CRPA) Antennas for GNSS Systems: Enhancing Anti-Jamming Capabilities</t>
  </si>
  <si>
    <t xml:space="preserve">10.1109/PIERS-Spring66516.2025.11276801</t>
  </si>
  <si>
    <t xml:space="preserve">R0398</t>
  </si>
  <si>
    <t xml:space="preserve">Modeling Object Motion on Arbitrary Unstructured Grids Using an Invariant Principle of Computational Domain Topology: Key Features</t>
  </si>
  <si>
    <t xml:space="preserve">10.3390/sym15112081</t>
  </si>
  <si>
    <t xml:space="preserve">R0399</t>
  </si>
  <si>
    <t xml:space="preserve">Ultra-dense LEO satellite-aircraft access and service management in civil aviation</t>
  </si>
  <si>
    <t xml:space="preserve">10.23919/JCC.fa.2023-0072.202501</t>
  </si>
  <si>
    <t xml:space="preserve">R0400</t>
  </si>
  <si>
    <t xml:space="preserve">Airborne Internet: An Ultradense LEO Networks Empowered Satellite-to-Aircraft Access and Resource Management Approach</t>
  </si>
  <si>
    <t xml:space="preserve">10.1109/JIOT.2023.3281404</t>
  </si>
  <si>
    <t xml:space="preserve">R0401</t>
  </si>
  <si>
    <t xml:space="preserve">Advancements in Wireless-Enabled Wearable Biosensors for Real-Time Fatigue Monitoring: A Review</t>
  </si>
  <si>
    <t xml:space="preserve">10.1007/978-981-96-9184-5_49</t>
  </si>
  <si>
    <t xml:space="preserve">R0402</t>
  </si>
  <si>
    <t xml:space="preserve">Consideration of Cybersecurity threat for Urban Air Mobility (UAM) Operations</t>
  </si>
  <si>
    <t xml:space="preserve">10.7840/kics.2023.48.8.984</t>
  </si>
  <si>
    <t xml:space="preserve">R0403</t>
  </si>
  <si>
    <t xml:space="preserve">Digital Twins: Implementation and Employment in Technologies</t>
  </si>
  <si>
    <t xml:space="preserve">10.1109/IC2SDT62152.2024.10696242</t>
  </si>
  <si>
    <t xml:space="preserve">R0404</t>
  </si>
  <si>
    <t xml:space="preserve">Multi-Source Data Fusion Technology and Its Application Based on In-Cabin Bluetooth Mesh Networking</t>
  </si>
  <si>
    <t xml:space="preserve">10.1109/ICCASIT62299.2024.10827896</t>
  </si>
  <si>
    <t xml:space="preserve">R0405</t>
  </si>
  <si>
    <t xml:space="preserve">Implementation of Predicting Space Weather Impacts Using Machine Learning Techniques for Aviation and Telecommunications</t>
  </si>
  <si>
    <t xml:space="preserve">10.1007/978-3-032-06677-0_30</t>
  </si>
  <si>
    <t xml:space="preserve">R0406</t>
  </si>
  <si>
    <t xml:space="preserve">Secure and Privacy-Protected Bioinformation Implementation in Air Passenger Transport Based on DLT</t>
  </si>
  <si>
    <t xml:space="preserve">10.3390/app14156426</t>
  </si>
  <si>
    <t xml:space="preserve">R0407</t>
  </si>
  <si>
    <t xml:space="preserve">The Climate Needs FAIR and FOSS: A Sustainability Perspective on Research Data and Software Management</t>
  </si>
  <si>
    <t xml:space="preserve">10.18420/inf2025_92</t>
  </si>
  <si>
    <t xml:space="preserve">R0408</t>
  </si>
  <si>
    <t xml:space="preserve">Optimization of Cross-Professional Interaction “Pilot-Air Traffic Controller” During Collaborative Practical Training</t>
  </si>
  <si>
    <t xml:space="preserve">10.1007/978-3-031-91992-3_29</t>
  </si>
  <si>
    <t xml:space="preserve">R0410</t>
  </si>
  <si>
    <t xml:space="preserve">Design and implementation of an ARINC429 bus simulation card</t>
  </si>
  <si>
    <t xml:space="preserve">10.1145/3766671.3766817</t>
  </si>
  <si>
    <t xml:space="preserve">R0412</t>
  </si>
  <si>
    <t xml:space="preserve">Joint Sensing and Communication for Enabling Advance Air Mobility</t>
  </si>
  <si>
    <t xml:space="preserve">R0413</t>
  </si>
  <si>
    <t xml:space="preserve">A First Look at Starlink In-Flight Performance: An Intercontinental Empirical Study</t>
  </si>
  <si>
    <t xml:space="preserve">10.1109/ComComAp68359.2025.11353148</t>
  </si>
  <si>
    <t xml:space="preserve">R0414</t>
  </si>
  <si>
    <t xml:space="preserve">Regional Navigation Satellite Systems Exploration and Integration: Concept Evaluation with the Agile SDR Platform</t>
  </si>
  <si>
    <t xml:space="preserve">10.1007/978-3-031-60196-5_13</t>
  </si>
  <si>
    <t xml:space="preserve">R0415</t>
  </si>
  <si>
    <t xml:space="preserve">ARAIM Subset Reduction Algorithm Based on Geometric Perception and Risk Feedback</t>
  </si>
  <si>
    <t xml:space="preserve">10.1109/ECIE69549.2026.11565690</t>
  </si>
  <si>
    <t xml:space="preserve">R0416</t>
  </si>
  <si>
    <t xml:space="preserve">Implementation of IOT for Airplane Black Boxes with Automated Information Transmission to Base Stations</t>
  </si>
  <si>
    <t xml:space="preserve">10.1109/ASIANCON66527.2025.11280990</t>
  </si>
  <si>
    <t xml:space="preserve">R0417</t>
  </si>
  <si>
    <t xml:space="preserve">Intelligent automated systems to support human teamwork: perceived invasiveness impacts team members’ psychological reactions negatively</t>
  </si>
  <si>
    <t xml:space="preserve">10.1007/s10111-025-00813-w</t>
  </si>
  <si>
    <t xml:space="preserve">R0418</t>
  </si>
  <si>
    <t xml:space="preserve">LDACS-Based Wide Area Multilateration for Surveillance: An Iterative Reweighted Least Square Method Using TDOA and FDOA Measurements</t>
  </si>
  <si>
    <t xml:space="preserve">10.1109/ICNS65417.2025.10976977</t>
  </si>
  <si>
    <t xml:space="preserve">R0419</t>
  </si>
  <si>
    <t xml:space="preserve">LTRA: A Lightweight Reputation-Enhanced Transmission Random Access Protocol for Low-Altitude Aviation Networks</t>
  </si>
  <si>
    <t xml:space="preserve">10.1109/CAIT70489.2026.11553684</t>
  </si>
  <si>
    <t xml:space="preserve">R0420</t>
  </si>
  <si>
    <t xml:space="preserve">Semantics of Aviation Data</t>
  </si>
  <si>
    <t xml:space="preserve">10.1109/ICSC67292.2026.00046</t>
  </si>
  <si>
    <t xml:space="preserve">R0421</t>
  </si>
  <si>
    <t xml:space="preserve">Mission concept and implementation status for the detection of gravity waves in the upper atmosphere</t>
  </si>
  <si>
    <t xml:space="preserve">10.1117/12.3061020</t>
  </si>
  <si>
    <t xml:space="preserve">R0422</t>
  </si>
  <si>
    <t xml:space="preserve">The GNSS Interference Monitoring Method Based on ADS-B Data Fusion Clustering</t>
  </si>
  <si>
    <t xml:space="preserve">10.1109/ICECAI62591.2024.10674924</t>
  </si>
  <si>
    <t xml:space="preserve">R0423</t>
  </si>
  <si>
    <t xml:space="preserve">SPRLP: Spatial-aware Pathfinding Routing for Aeronautical Ad-Hoc Networks based on Location Prediction</t>
  </si>
  <si>
    <t xml:space="preserve">10.1109/IWCMC65282.2025.11059579</t>
  </si>
  <si>
    <t xml:space="preserve">R0424</t>
  </si>
  <si>
    <t xml:space="preserve">Right-of-Way Compliance in UAV Swarm Networks</t>
  </si>
  <si>
    <t xml:space="preserve">10.1109/ICNS69853.2026.11570644</t>
  </si>
  <si>
    <t xml:space="preserve">R0425</t>
  </si>
  <si>
    <t xml:space="preserve">A Critical Analysis of End-to-End ASR Models for Air Traffic Control Speech</t>
  </si>
  <si>
    <t xml:space="preserve">10.1109/AIST68591.2025.11441508</t>
  </si>
  <si>
    <t xml:space="preserve">R0426</t>
  </si>
  <si>
    <t xml:space="preserve">Machine Learning Based Framework for Classification and Transformation of Bird Calls Using Attention Mechanism</t>
  </si>
  <si>
    <t xml:space="preserve">10.1007/978-3-032-23219-9_32</t>
  </si>
  <si>
    <t xml:space="preserve">R0427</t>
  </si>
  <si>
    <t xml:space="preserve">An Innovative Design for Improving U.S. Airports' Cybersecurity Based on Blockchain Technology</t>
  </si>
  <si>
    <t xml:space="preserve">10.1109/SIEDS61124.2024.10534684</t>
  </si>
  <si>
    <t xml:space="preserve">R0428</t>
  </si>
  <si>
    <t xml:space="preserve">Strangers Sets: Preserving Drones' Location Privacy while Avoiding Violations of Critical Infrastructures</t>
  </si>
  <si>
    <t xml:space="preserve">10.1145/3672608.3707724</t>
  </si>
  <si>
    <t xml:space="preserve">R0429</t>
  </si>
  <si>
    <t xml:space="preserve">A blockchain-based secure framework for data management</t>
  </si>
  <si>
    <t xml:space="preserve">10.1049/cmu2.12781</t>
  </si>
  <si>
    <t xml:space="preserve">R0430</t>
  </si>
  <si>
    <t xml:space="preserve">GNSS Positioning under Threat: The Rising Risk to Existing Systems and the Role of Alternative Indoor and Seamless Navigation Technologies</t>
  </si>
  <si>
    <t xml:space="preserve">10.1109/JISPIN.2025.3629705</t>
  </si>
  <si>
    <t xml:space="preserve">R0432</t>
  </si>
  <si>
    <t xml:space="preserve">Research on airborne data transmission technology based on 5G technology</t>
  </si>
  <si>
    <t xml:space="preserve">10.1109/ISCIPT61983.2024.10673109</t>
  </si>
  <si>
    <t xml:space="preserve">R0433</t>
  </si>
  <si>
    <t xml:space="preserve">Poster: Decentralized Framework for Measuring End-To-End Performance in 5G Networks</t>
  </si>
  <si>
    <t xml:space="preserve">10.1109/VNC61989.2024.10575962</t>
  </si>
  <si>
    <t xml:space="preserve">R0434</t>
  </si>
  <si>
    <t xml:space="preserve">Assessment and Mitigation Approaches of 5G C-Band Interference With Aeronautical Radar Altimeter</t>
  </si>
  <si>
    <t xml:space="preserve">10.1109/TRS.2025.3557219</t>
  </si>
  <si>
    <t xml:space="preserve">R0436</t>
  </si>
  <si>
    <t xml:space="preserve">Characterizing ionospheric delay gradients for GNSS ground-based augmentation system</t>
  </si>
  <si>
    <t xml:space="preserve">10.1117/12.3049039</t>
  </si>
  <si>
    <t xml:space="preserve">R0438</t>
  </si>
  <si>
    <t xml:space="preserve">Research on Modeling Methods for General Characteristics of Cyber-Physical Systems</t>
  </si>
  <si>
    <t xml:space="preserve">10.1109/YAC63405.2024.10598449</t>
  </si>
  <si>
    <t xml:space="preserve">R0439</t>
  </si>
  <si>
    <t xml:space="preserve">The Role of Simulated Air Traffic Control Environment (SATCE) in the Implementation of ICAO Level 4 Requirements</t>
  </si>
  <si>
    <t xml:space="preserve">10.54941/ahfe1006502</t>
  </si>
  <si>
    <t xml:space="preserve">R0440</t>
  </si>
  <si>
    <t xml:space="preserve">UAS Traffic Management: Integrating Weather Information using System Adaptability</t>
  </si>
  <si>
    <t xml:space="preserve">10.1109/SysCon64521.2025.11014794</t>
  </si>
  <si>
    <t xml:space="preserve">R0441</t>
  </si>
  <si>
    <t xml:space="preserve">Leverage Large Language Models For Enhanced Aviation Safety</t>
  </si>
  <si>
    <t xml:space="preserve">10.1109/ICNS60906.2024.10550651</t>
  </si>
  <si>
    <t xml:space="preserve">R0442</t>
  </si>
  <si>
    <t xml:space="preserve">Pilot Speech Recognition Technology Based on the Paraformer Model</t>
  </si>
  <si>
    <t xml:space="preserve">10.1109/AANN66429.2025.11257680</t>
  </si>
  <si>
    <t xml:space="preserve">R0443</t>
  </si>
  <si>
    <t xml:space="preserve">An LLM-Based Agentic Natural Language Dialogue System Approach for Helicopter MUM-T Operations</t>
  </si>
  <si>
    <t xml:space="preserve">10.1109/ICHMS65439.2025.11154241</t>
  </si>
  <si>
    <t xml:space="preserve">R0444</t>
  </si>
  <si>
    <t xml:space="preserve">Urban Air Mobility Communications and Networking: Recent Advances, Techniques, and Challenges</t>
  </si>
  <si>
    <t xml:space="preserve">10.3390/drones8120702</t>
  </si>
  <si>
    <t xml:space="preserve">R0446</t>
  </si>
  <si>
    <t xml:space="preserve">Exploring Commercial Pilots’ Need for Transparency in Aircraft Cockpit with AI-Integration</t>
  </si>
  <si>
    <t xml:space="preserve">10.1007/978-3-032-29459-3_23</t>
  </si>
  <si>
    <t xml:space="preserve">R0447</t>
  </si>
  <si>
    <t xml:space="preserve">Evaluation of the Effect of Ionospheric Scintillation on Potential SBAS Systems for Tropical and Equatorial Regions</t>
  </si>
  <si>
    <t xml:space="preserve">10.33012/2025.20265</t>
  </si>
  <si>
    <t xml:space="preserve">R0448</t>
  </si>
  <si>
    <t xml:space="preserve">The Integration of Airplane Health Management to the Ground Handling Operations in De-icing Case Study</t>
  </si>
  <si>
    <t xml:space="preserve">10.1007/978-3-032-18771-0_37</t>
  </si>
  <si>
    <t xml:space="preserve">R0449</t>
  </si>
  <si>
    <t xml:space="preserve">A Feedback-Driven Adaptive Genetic Fuzzing Test Case Optimization Method for FPGA Communication Protocols</t>
  </si>
  <si>
    <t xml:space="preserve">10.1109/DSA66321.2025.00013</t>
  </si>
  <si>
    <t xml:space="preserve">R0450</t>
  </si>
  <si>
    <t xml:space="preserve">Modulated Signal Processing for Digital Communication System of Flight Control</t>
  </si>
  <si>
    <t xml:space="preserve">10.1109/MSNMC61130.2025.11399671</t>
  </si>
  <si>
    <t xml:space="preserve">R0451</t>
  </si>
  <si>
    <t xml:space="preserve">IoT-Enabled Modular Bird Repellent System: A Pattern-Based Approach for Enhanced Detection and Control</t>
  </si>
  <si>
    <t xml:space="preserve">10.1109/JIOT.2025.3571532</t>
  </si>
  <si>
    <t xml:space="preserve">R0452</t>
  </si>
  <si>
    <t xml:space="preserve">Radio Frequency Transformer and Reinforcement Learning-Based Adaptive Interference Mitigation for Aviation Communication Systems</t>
  </si>
  <si>
    <t xml:space="preserve">10.1109/ISSC67739.2025.11291303</t>
  </si>
  <si>
    <t xml:space="preserve">R0453</t>
  </si>
  <si>
    <t xml:space="preserve">Italian Cluster's 2023 Demonstration Campaign: Driving Innovation in U-Space Within SESAR U-elcome</t>
  </si>
  <si>
    <t xml:space="preserve">10.1109/ICNS65417.2025.10976889</t>
  </si>
  <si>
    <t xml:space="preserve">R0455</t>
  </si>
  <si>
    <t xml:space="preserve">Impact Analysis of OpenSSH Startup Methods on Background Process Management</t>
  </si>
  <si>
    <t xml:space="preserve">10.1109/IAEAC65194.2025.11166579</t>
  </si>
  <si>
    <t xml:space="preserve">R0457</t>
  </si>
  <si>
    <t xml:space="preserve">Functional Coverage-Driven UVM-Based ARINC429 Verification</t>
  </si>
  <si>
    <t xml:space="preserve">10.1007/978-981-96-3013-4_20</t>
  </si>
  <si>
    <t xml:space="preserve">R0458</t>
  </si>
  <si>
    <t xml:space="preserve">Merging in Air Corridors Using Vehicle-to-Vehicle Communications</t>
  </si>
  <si>
    <t xml:space="preserve">10.1109/ICC51166.2024.10622552</t>
  </si>
  <si>
    <t xml:space="preserve">R0459</t>
  </si>
  <si>
    <t xml:space="preserve">Developing Future Aviation Specialists’ Readiness for Professional Activity Through System-Synergetic Diagnostic Technologies</t>
  </si>
  <si>
    <t xml:space="preserve">10.1007/978-3-031-60196-5_26</t>
  </si>
  <si>
    <t xml:space="preserve">R0460</t>
  </si>
  <si>
    <t xml:space="preserve">The Role of Simulated Air Traffic Control Environment (SATCE) in Aviation Performance</t>
  </si>
  <si>
    <t xml:space="preserve">10.54941/ahfe1006503</t>
  </si>
  <si>
    <t xml:space="preserve">R0463</t>
  </si>
  <si>
    <t xml:space="preserve">Localization Design of the Aviation Bus Interface System for Full Flight Simulator</t>
  </si>
  <si>
    <t xml:space="preserve">10.1109/ICCASIT66611.2025.11348846</t>
  </si>
  <si>
    <t xml:space="preserve">R0464</t>
  </si>
  <si>
    <t xml:space="preserve">Utilization of full-resolution ground code and carrier-phase measurements in DFMC GBAS (GAST E)</t>
  </si>
  <si>
    <t xml:space="preserve">10.33012/2025.20301</t>
  </si>
  <si>
    <t xml:space="preserve">R0466</t>
  </si>
  <si>
    <t xml:space="preserve">Flexible Multimode Avionics Enabled by Hyper Integrated Software Defined Radio Solutions</t>
  </si>
  <si>
    <t xml:space="preserve">10.1109/ICNS65417.2025.10976953</t>
  </si>
  <si>
    <t xml:space="preserve">R0467</t>
  </si>
  <si>
    <t xml:space="preserve">Channel Characterization for the 90 GHz Band in Aviation Environments</t>
  </si>
  <si>
    <t xml:space="preserve">10.1109/TWC.2024.3411031</t>
  </si>
  <si>
    <t xml:space="preserve">R0468</t>
  </si>
  <si>
    <t xml:space="preserve">High-Reliability Wireless Pressure Measurement System Based on FEC Algorithm</t>
  </si>
  <si>
    <t xml:space="preserve">10.3390/electronics14061196</t>
  </si>
  <si>
    <t xml:space="preserve">R0469</t>
  </si>
  <si>
    <t xml:space="preserve">Automatic Ground-Truth Image Labeling for Deep Neural Network Training and Evaluation Using Industrial Robotics and Motion Capture</t>
  </si>
  <si>
    <t xml:space="preserve">10.1115/1.4064311</t>
  </si>
  <si>
    <t xml:space="preserve">R0470</t>
  </si>
  <si>
    <t xml:space="preserve">Revolutionizing Military Communications with a Conceptual Blockchain Model for Enhanced Security and Trust</t>
  </si>
  <si>
    <t xml:space="preserve">10.1007/978-3-032-12888-1_44</t>
  </si>
  <si>
    <t xml:space="preserve">R0471</t>
  </si>
  <si>
    <t xml:space="preserve">Mitigating Values Debt in Generative AI: Responsible Engineering with Graph RAG</t>
  </si>
  <si>
    <t xml:space="preserve">10.1109/RAIE66699.2025.00006</t>
  </si>
  <si>
    <t xml:space="preserve">R0472</t>
  </si>
  <si>
    <t xml:space="preserve">Verification of SDR Devices Applicable in Specific Cases of Air Traffic Control</t>
  </si>
  <si>
    <t xml:space="preserve">10.1109/ICMT65201.2025.11061349</t>
  </si>
  <si>
    <t xml:space="preserve">R0473</t>
  </si>
  <si>
    <t xml:space="preserve">Intelligent Bird Repellent with Digital Twin and Multi-Source Fusion</t>
  </si>
  <si>
    <t xml:space="preserve">10.1109/ICEACE67491.2025.11439216</t>
  </si>
  <si>
    <t xml:space="preserve">R0474</t>
  </si>
  <si>
    <t xml:space="preserve">Decision Support Systems for Sustainable Computing</t>
  </si>
  <si>
    <t xml:space="preserve">10.1016/C2023-0-00901-3</t>
  </si>
  <si>
    <t xml:space="preserve">R0475</t>
  </si>
  <si>
    <t xml:space="preserve">The Role of Advanced Air Mobility in the Future of Safe Transportation</t>
  </si>
  <si>
    <t xml:space="preserve">10.54941/ahfe1007020</t>
  </si>
  <si>
    <t xml:space="preserve">R0478</t>
  </si>
  <si>
    <t xml:space="preserve">Strategic Diagnostics for Optimization of Aviation Enterprises Activity in the Condition of Digital Transformations</t>
  </si>
  <si>
    <t xml:space="preserve">10.1007/978-3-031-91992-3_7</t>
  </si>
  <si>
    <t xml:space="preserve">R0479</t>
  </si>
  <si>
    <t xml:space="preserve">Intersatellite-Link-Enhanced Transmission Scheme Toward Aviation IoT in SAGIN</t>
  </si>
  <si>
    <t xml:space="preserve">10.1109/JIOT.2024.3519659</t>
  </si>
  <si>
    <t xml:space="preserve">R0480</t>
  </si>
  <si>
    <t xml:space="preserve">Joint Optimization of Service Discovery and Service Routing for Microservices in Civil Aviation Cloud Platforms</t>
  </si>
  <si>
    <t xml:space="preserve">10.1109/DSInS68311.2025.11329954</t>
  </si>
  <si>
    <t xml:space="preserve">R0481</t>
  </si>
  <si>
    <t xml:space="preserve">Speech Recognition for Air Communication</t>
  </si>
  <si>
    <t xml:space="preserve">10.1109/ICANCS65819.2025.11377103</t>
  </si>
  <si>
    <t xml:space="preserve">R0483</t>
  </si>
  <si>
    <t xml:space="preserve">Design and Implementation of Rescue Command and Information Fusion System for Emergency Rescue Command Aircraft</t>
  </si>
  <si>
    <t xml:space="preserve">10.1145/3768801.3768859</t>
  </si>
  <si>
    <t xml:space="preserve">R0484</t>
  </si>
  <si>
    <t xml:space="preserve">Enhancing Speech Quality in Scintillating Satellite Communications: A Rician Fading Modeling Approach</t>
  </si>
  <si>
    <t xml:space="preserve">10.1109/APSIPAASC65261.2025.11249171</t>
  </si>
  <si>
    <t xml:space="preserve">R0485</t>
  </si>
  <si>
    <t xml:space="preserve">Existing Approaches &amp; A Proposal to Content Analysis of Pilots' Speech Activities</t>
  </si>
  <si>
    <t xml:space="preserve">10.1109/SmartIndustryCon61328.2024.10515801</t>
  </si>
  <si>
    <t xml:space="preserve">R0486</t>
  </si>
  <si>
    <t xml:space="preserve">Satellite Communication Vulnerabilities and Threat Landscape</t>
  </si>
  <si>
    <t xml:space="preserve">10.1109/SILCON63976.2024.10910765</t>
  </si>
  <si>
    <t xml:space="preserve">R0487</t>
  </si>
  <si>
    <t xml:space="preserve">Assessment of GNSS Performance and Error Bounding for SAIL III UAS Operations</t>
  </si>
  <si>
    <t xml:space="preserve">10.3390/drones9110776</t>
  </si>
  <si>
    <t xml:space="preserve">R0488</t>
  </si>
  <si>
    <t xml:space="preserve">Adaptive control for uncrewed aerial vehicles based on communication information optimization in complex environments</t>
  </si>
  <si>
    <t xml:space="preserve">10.7717/peerj-cs.1920</t>
  </si>
  <si>
    <t xml:space="preserve">R0489</t>
  </si>
  <si>
    <t xml:space="preserve">OCC-Based Positioning Method for Autonomous UAV Navigation in GNSS-Denied Environments: An Offshore Wind Farm Simulation Study</t>
  </si>
  <si>
    <t xml:space="preserve">10.3390/s25247569</t>
  </si>
  <si>
    <t xml:space="preserve">R0490</t>
  </si>
  <si>
    <t xml:space="preserve">Towards mmWave Altimetry for UAS: Exploring the Potential of 77 GHz Automotive Radars</t>
  </si>
  <si>
    <t xml:space="preserve">10.3390/drones8030094</t>
  </si>
  <si>
    <t xml:space="preserve">R0491</t>
  </si>
  <si>
    <t xml:space="preserve">Trustworthy Device Identifiers For Unmanned Aircraft and Other Mobile Things</t>
  </si>
  <si>
    <t xml:space="preserve">10.1109/UVS59630.2024.10467167</t>
  </si>
  <si>
    <t xml:space="preserve">R0492</t>
  </si>
  <si>
    <t xml:space="preserve">Reliability Improvement in Data Downloading from Flight Data Recorder Using Ethernet Protocol</t>
  </si>
  <si>
    <t xml:space="preserve">10.1109/NETCRYPT65877.2025.11102603</t>
  </si>
  <si>
    <t xml:space="preserve">R0493</t>
  </si>
  <si>
    <t xml:space="preserve">Research on lightning effect test methods and key technologies of intelligent and connected vehicles</t>
  </si>
  <si>
    <t xml:space="preserve">10.1109/EIT63098.2024.10762522</t>
  </si>
  <si>
    <t xml:space="preserve">R0495</t>
  </si>
  <si>
    <t xml:space="preserve">Weather Forecasting Satellites—Past, Present, &amp; Future</t>
  </si>
  <si>
    <t xml:space="preserve">10.3390/info16080677</t>
  </si>
  <si>
    <t xml:space="preserve">R0496</t>
  </si>
  <si>
    <t xml:space="preserve">Space-to-Ground File Transfer System Based on Satellite Communications</t>
  </si>
  <si>
    <t xml:space="preserve">10.1109/CRSIT66101.2025.11141624</t>
  </si>
  <si>
    <t xml:space="preserve">R0497</t>
  </si>
  <si>
    <t xml:space="preserve">Drone cybersecurity issues, solutions, trend insights and future perspectives: a survey</t>
  </si>
  <si>
    <t xml:space="preserve">10.1007/s00521-023-08857-7</t>
  </si>
  <si>
    <t xml:space="preserve">R0498</t>
  </si>
  <si>
    <t xml:space="preserve">Emerging Technologies in Aviation Competency-Based Training and Assessment Framework: The Simulated Air Traffic Control Environment (SATCE) Influence on Communication Competency</t>
  </si>
  <si>
    <t xml:space="preserve">10.1007/978-3-031-76824-8_25</t>
  </si>
  <si>
    <t xml:space="preserve">R0499</t>
  </si>
  <si>
    <t xml:space="preserve">A Satellite-Based ACARS Signal Demodulation Method Based on Gardner Synchronisation</t>
  </si>
  <si>
    <t xml:space="preserve">10.1109/AIPIP66876.2025.11299160</t>
  </si>
  <si>
    <t xml:space="preserve">R0500</t>
  </si>
  <si>
    <t xml:space="preserve">Radio altimeter compatibility analysis with 5G systems</t>
  </si>
  <si>
    <t xml:space="preserve">10.1117/12.3014958</t>
  </si>
  <si>
    <t xml:space="preserve">R0501</t>
  </si>
  <si>
    <t xml:space="preserve">Timing diversity as a protective mechanism: work-in-progress</t>
  </si>
  <si>
    <t xml:space="preserve">10.1145/3477244.3477614</t>
  </si>
  <si>
    <t xml:space="preserve">R0502</t>
  </si>
  <si>
    <t xml:space="preserve">A United Kingdom Space-Based Augmentation System Testbed Capability</t>
  </si>
  <si>
    <t xml:space="preserve">10.33012/2022.18406</t>
  </si>
  <si>
    <t xml:space="preserve">R0503</t>
  </si>
  <si>
    <t xml:space="preserve">Monitoring human performance in real-time for nas safety prognostics</t>
  </si>
  <si>
    <t xml:space="preserve">10.2514/6.2019-3411</t>
  </si>
  <si>
    <t xml:space="preserve">R0507</t>
  </si>
  <si>
    <t xml:space="preserve">Millimeter wave channel modeling for aviation backhaul networks in 5G communications</t>
  </si>
  <si>
    <t xml:space="preserve">10.1109/ICCIT48885.2019.9038586</t>
  </si>
  <si>
    <t xml:space="preserve">R0508</t>
  </si>
  <si>
    <t xml:space="preserve">Development of Automated Weather Observing System Based on Realtime Web Display</t>
  </si>
  <si>
    <t xml:space="preserve">10.1109/ELECSYM.2019.8901542</t>
  </si>
  <si>
    <t xml:space="preserve">R0510</t>
  </si>
  <si>
    <t xml:space="preserve">Aviation Safety Service IPV6 Based Air-To-Ground Communication: Multi-Homing Challenges</t>
  </si>
  <si>
    <t xml:space="preserve">10.1109/ICNSURV.2019.8735276</t>
  </si>
  <si>
    <t xml:space="preserve">R0511</t>
  </si>
  <si>
    <t xml:space="preserve">Neuro-Symbolic Speech Understanding in Aircraft Maintenance Metaverse</t>
  </si>
  <si>
    <t xml:space="preserve">10.1109/ACCESS.2021.3128616</t>
  </si>
  <si>
    <t xml:space="preserve">R0512</t>
  </si>
  <si>
    <t xml:space="preserve">FAA Transition Away from Radar and Towards ADS-B Aircraft Communication-Based on Accuracy</t>
  </si>
  <si>
    <t xml:space="preserve">10.1007/978-981-16-7502-7_35</t>
  </si>
  <si>
    <t xml:space="preserve">R0513</t>
  </si>
  <si>
    <t xml:space="preserve">Evaluation of a Multi-Mode-Transceiver for Enhanced UAV Visibility and Connectivity in Mixed ATM/UTM Contexts</t>
  </si>
  <si>
    <t xml:space="preserve">10.3390/drones6040080</t>
  </si>
  <si>
    <t xml:space="preserve">R0514</t>
  </si>
  <si>
    <t xml:space="preserve">Networked Twins and Twins of Networks: An Overview on the Relationship between Digital Twins and 6G</t>
  </si>
  <si>
    <t xml:space="preserve">10.1109/MCOMSTD.0001.2000041</t>
  </si>
  <si>
    <t xml:space="preserve">R0515</t>
  </si>
  <si>
    <t xml:space="preserve">An Intelligent Recognition and Diagnosis System for English in Radio Land-Air Calls Based on Optimization Algorithm</t>
  </si>
  <si>
    <t xml:space="preserve">10.1145/3558819.3563735</t>
  </si>
  <si>
    <t xml:space="preserve">R0517</t>
  </si>
  <si>
    <t xml:space="preserve">An Enterprise Architecture based on Cloud, Fog and Edge Computing for an Airfield Lighting Management System</t>
  </si>
  <si>
    <t xml:space="preserve">10.1109/EDOCW49879.2020.00021</t>
  </si>
  <si>
    <t xml:space="preserve">R0518</t>
  </si>
  <si>
    <t xml:space="preserve">Real-time controlling dynamics sensing in air traffic system</t>
  </si>
  <si>
    <t xml:space="preserve">10.3390/s19030679</t>
  </si>
  <si>
    <t xml:space="preserve">R0519</t>
  </si>
  <si>
    <t xml:space="preserve">An Anonymous Communication Method for Wireless Sensor Networks Based on Bilinear Pairings</t>
  </si>
  <si>
    <t xml:space="preserve">10.1109/ICCASIT50869.2020.9368864</t>
  </si>
  <si>
    <t xml:space="preserve">R0520</t>
  </si>
  <si>
    <t xml:space="preserve">Customization of Automatic Speech Recognition Engines for Rare Word Detection Without Costly Model Re-Training</t>
  </si>
  <si>
    <t xml:space="preserve">R0521</t>
  </si>
  <si>
    <t xml:space="preserve">Applying apriori algorithm and decision tree to promote data traffic of mobile customers</t>
  </si>
  <si>
    <t xml:space="preserve">10.1109/ICCASIT48058.2019.8973178</t>
  </si>
  <si>
    <t xml:space="preserve">R0522</t>
  </si>
  <si>
    <t xml:space="preserve">A data-driven decision making framework for value-based engineering design of complex network systems</t>
  </si>
  <si>
    <t xml:space="preserve">10.2514/6.2019-3350</t>
  </si>
  <si>
    <t xml:space="preserve">R0523</t>
  </si>
  <si>
    <t xml:space="preserve">High Mobility 5G Services for Vertical Industries – Network Operator’s View</t>
  </si>
  <si>
    <t xml:space="preserve">10.1007/978-3-030-79157-5_7</t>
  </si>
  <si>
    <t xml:space="preserve">R0526</t>
  </si>
  <si>
    <t xml:space="preserve">Advanced Air Mobility Operation and Infrastructure for Sustainable Connected eVTOL Vehicle</t>
  </si>
  <si>
    <t xml:space="preserve">10.3390/drones7050319</t>
  </si>
  <si>
    <t xml:space="preserve">R0527</t>
  </si>
  <si>
    <t xml:space="preserve">Experimentation framework for wireless communication systems under jamming scenarios</t>
  </si>
  <si>
    <t xml:space="preserve">10.1049/cps2.12027</t>
  </si>
  <si>
    <t xml:space="preserve">R0528</t>
  </si>
  <si>
    <t xml:space="preserve">Integration of U-space and 5GS for UAV services</t>
  </si>
  <si>
    <t xml:space="preserve">R0529</t>
  </si>
  <si>
    <t xml:space="preserve">Transforming Today's Closed Communications Network to Tomorrow's Cross-Domain Aviation Internet</t>
  </si>
  <si>
    <t xml:space="preserve">10.1109/ICNS50378.2020.9222975</t>
  </si>
  <si>
    <t xml:space="preserve">R0530</t>
  </si>
  <si>
    <t xml:space="preserve">Hyper-Spectral Communications and Networking for ATM: Results and Prospective Future</t>
  </si>
  <si>
    <t xml:space="preserve">10.1109/ICNS50378.2020.9222856</t>
  </si>
  <si>
    <t xml:space="preserve">R0532</t>
  </si>
  <si>
    <t xml:space="preserve">Towards A Data Link for Unmanned Aviation: DLR Flight Measurement Campaign for C2 Data Link Development</t>
  </si>
  <si>
    <t xml:space="preserve">10.1109/ICNSURV.2019.8735378</t>
  </si>
  <si>
    <t xml:space="preserve">R0533</t>
  </si>
  <si>
    <t xml:space="preserve">Australia and New Zealand SBAS and PPP testbed: Achievements after three years of service</t>
  </si>
  <si>
    <t xml:space="preserve">10.33012/2020.17692</t>
  </si>
  <si>
    <t xml:space="preserve">R0534</t>
  </si>
  <si>
    <t xml:space="preserve">GNSS/GPS Spoofing Detection using Ionospheric Signatures</t>
  </si>
  <si>
    <t xml:space="preserve">10.1109/InCAP52216.2021.9726378</t>
  </si>
  <si>
    <t xml:space="preserve">R0535</t>
  </si>
  <si>
    <t xml:space="preserve">HIGH ACCURATE POSITIONING FOR AUTONOMOUS VEHICLES ENABLED BY CONNECTIVITY</t>
  </si>
  <si>
    <t xml:space="preserve">R0536</t>
  </si>
  <si>
    <t xml:space="preserve">Unlocking 5G Potential: Exploring a Single-Layer MIMO Antenna for Enhanced Applications</t>
  </si>
  <si>
    <t xml:space="preserve">10.1109/ICIICS59993.2023.10421519</t>
  </si>
  <si>
    <t xml:space="preserve">R0537</t>
  </si>
  <si>
    <t xml:space="preserve">Robot Autonomous Cruising System Based on Wireless D2D Communication Technology</t>
  </si>
  <si>
    <t xml:space="preserve">10.1109/ICCASIT50869.2020.9368703</t>
  </si>
  <si>
    <t xml:space="preserve">R0539</t>
  </si>
  <si>
    <t xml:space="preserve">5G Radar: Scenarios, Numerology and Simulations</t>
  </si>
  <si>
    <t xml:space="preserve">10.1109/ICMCIS.2019.8842780</t>
  </si>
  <si>
    <t xml:space="preserve">R0540</t>
  </si>
  <si>
    <t xml:space="preserve">Domain Specific Ontology Enhancing Communication Accuracy in Airport Operation</t>
  </si>
  <si>
    <t xml:space="preserve">10.1109/ISADS45777.2019.9155591</t>
  </si>
  <si>
    <t xml:space="preserve">R0541</t>
  </si>
  <si>
    <t xml:space="preserve">Performance Modeling of Aircraft Positioning System</t>
  </si>
  <si>
    <t xml:space="preserve">10.1007/978-3-030-94259-5_26</t>
  </si>
  <si>
    <t xml:space="preserve">R0542</t>
  </si>
  <si>
    <t xml:space="preserve">Research on Multi-domain Virtual Resource Mapping Method for Aeronautic Swarm Network Supporting Differentiated Services Mechanism</t>
  </si>
  <si>
    <t xml:space="preserve">10.1007/978-981-16-1967-0_3</t>
  </si>
  <si>
    <t xml:space="preserve">R0543</t>
  </si>
  <si>
    <t xml:space="preserve">The Practical Analysis of Switch Port Mirroring Function</t>
  </si>
  <si>
    <t xml:space="preserve">10.1109/ICCASIT53235.2021.9633718</t>
  </si>
  <si>
    <t xml:space="preserve">R0544</t>
  </si>
  <si>
    <t xml:space="preserve">Multilevel Unified Data Model for Critical Aviation Information Systems Cybersecurity</t>
  </si>
  <si>
    <t xml:space="preserve">10.1109/APUAVD47061.2019.8943833</t>
  </si>
  <si>
    <t xml:space="preserve">R0545</t>
  </si>
  <si>
    <t xml:space="preserve">100-340GHz Spatially Multiplexed Communications: IC, Transceiver, and Link Design</t>
  </si>
  <si>
    <t xml:space="preserve">10.1109/SPAWC.2019.8815433</t>
  </si>
  <si>
    <t xml:space="preserve">R0546</t>
  </si>
  <si>
    <t xml:space="preserve">Design of Universal Network Interface Detection System for Avionics System Based on Protocol Model Framework</t>
  </si>
  <si>
    <t xml:space="preserve">10.1109/ICCASIT50869.2020.9368537</t>
  </si>
  <si>
    <t xml:space="preserve">R0548</t>
  </si>
  <si>
    <t xml:space="preserve">Complexity-reduced Single Sideband and Narrowband Doppler Spectrum Filtering Method for ATG Fading Channel Simulation</t>
  </si>
  <si>
    <t xml:space="preserve">10.1109/ICCASIT50869.2020.9368804</t>
  </si>
  <si>
    <t xml:space="preserve">R0549</t>
  </si>
  <si>
    <t xml:space="preserve">Investigation and evaluation of advanced spectrum management concepts for aeronautical communications</t>
  </si>
  <si>
    <t xml:space="preserve">10.1109/ICNS52807.2021.9441662</t>
  </si>
  <si>
    <t xml:space="preserve">R0550</t>
  </si>
  <si>
    <t xml:space="preserve">Research on Air-Ground Joint Debugging System of Flight Inspection</t>
  </si>
  <si>
    <t xml:space="preserve">10.1109/ICBAIE49996.2020.00058</t>
  </si>
  <si>
    <t xml:space="preserve">R0551</t>
  </si>
  <si>
    <t xml:space="preserve">Research on automatic pilot repetition generation method based on deep reinforcement learning</t>
  </si>
  <si>
    <t xml:space="preserve">10.3389/fnbot.2023.1285831</t>
  </si>
  <si>
    <t xml:space="preserve">R0552</t>
  </si>
  <si>
    <t xml:space="preserve">Research and design of trusted enhancement model for wireless sensor computing environment</t>
  </si>
  <si>
    <t xml:space="preserve">10.1109/ICCASIT48058.2019.8973136</t>
  </si>
  <si>
    <t xml:space="preserve">R0554</t>
  </si>
  <si>
    <t xml:space="preserve">Methods of Service Life Determining for Aviation Radio Equipment</t>
  </si>
  <si>
    <t xml:space="preserve">10.1109/DESSERT58054.2022.10018808</t>
  </si>
  <si>
    <t xml:space="preserve">R0555</t>
  </si>
  <si>
    <t xml:space="preserve">Research on System Architecture Based on Natural Disaster Monitoring and Early Warning Service</t>
  </si>
  <si>
    <t xml:space="preserve">10.1109/ICSESS52187.2021.9522291</t>
  </si>
  <si>
    <t xml:space="preserve">R0556</t>
  </si>
  <si>
    <t xml:space="preserve">A Study of Team Structure to Enable Effective Product Development Process Implementation</t>
  </si>
  <si>
    <t xml:space="preserve">10.1007/978-3-030-20154-8_53</t>
  </si>
  <si>
    <t xml:space="preserve">R0557</t>
  </si>
  <si>
    <t xml:space="preserve">Effects of equatorial ionospheric scintillation for GNSS based positioning in aviation</t>
  </si>
  <si>
    <t xml:space="preserve">10.23919/ENC48637.2020.9317407</t>
  </si>
  <si>
    <t xml:space="preserve">R0558</t>
  </si>
  <si>
    <t xml:space="preserve">Application of a 3D Scanner in Robotic Measurement of Aviation Components</t>
  </si>
  <si>
    <t xml:space="preserve">10.3390/electronics11193216</t>
  </si>
  <si>
    <t xml:space="preserve">R0560</t>
  </si>
  <si>
    <t xml:space="preserve">Designing fine-grained interactions for automation in air traffic control</t>
  </si>
  <si>
    <t xml:space="preserve">10.1007/s10111-019-00598-9</t>
  </si>
  <si>
    <t xml:space="preserve">R0561</t>
  </si>
  <si>
    <t xml:space="preserve">Adaptive Threshold Energy Detection Spectrum Sensing Method for L-Band Digital Aeronautical Communication System</t>
  </si>
  <si>
    <t xml:space="preserve">10.1155/2022/4325515</t>
  </si>
  <si>
    <t xml:space="preserve">R0562</t>
  </si>
  <si>
    <t xml:space="preserve">G2A Communication Systems: A Survey on Evolving Enabling Technologies, Technical Challenges and Research Directions</t>
  </si>
  <si>
    <t xml:space="preserve">10.1109/ic-ETITE47903.2020.ICETITE422</t>
  </si>
  <si>
    <t xml:space="preserve">R0563</t>
  </si>
  <si>
    <t xml:space="preserve">An End-to-End Conformer-Based Speech Recognition Model for Mandarin Radiotelephony Communications in Civil Aviation</t>
  </si>
  <si>
    <t xml:space="preserve">10.1007/978-3-031-20233-9_34</t>
  </si>
  <si>
    <t xml:space="preserve">R0564</t>
  </si>
  <si>
    <t xml:space="preserve">Rapid Prototyping for a Future Aeronautical Mobile Communications System Using Software Defined Radio</t>
  </si>
  <si>
    <t xml:space="preserve">10.1109/ICNS54818.2022.9771483</t>
  </si>
  <si>
    <t xml:space="preserve">R0565</t>
  </si>
  <si>
    <t xml:space="preserve">Research on Spacecraft Maintenance System Technology for Autonomous Management</t>
  </si>
  <si>
    <t xml:space="preserve">10.1109/ICEMI52946.2021.9679518</t>
  </si>
  <si>
    <t xml:space="preserve">R0566</t>
  </si>
  <si>
    <t xml:space="preserve">Weather impact analysis of mmWave channel modeling for aviation backhaul networks in 5G communications</t>
  </si>
  <si>
    <t xml:space="preserve">10.1109/ICCIT48885.2019.9038447</t>
  </si>
  <si>
    <t xml:space="preserve">R0567</t>
  </si>
  <si>
    <t xml:space="preserve">Design of data communication and monitoring system based on aviation ARINC825 bus</t>
  </si>
  <si>
    <t xml:space="preserve">10.1109/ICCSN.2019.8905363</t>
  </si>
  <si>
    <t xml:space="preserve">R0568</t>
  </si>
  <si>
    <t xml:space="preserve">A Comparison of Channel Coding Schemes for Airport Aeronautical Mobile Communication System</t>
  </si>
  <si>
    <t xml:space="preserve">10.1117/12.2685485</t>
  </si>
  <si>
    <t xml:space="preserve">R0569</t>
  </si>
  <si>
    <t xml:space="preserve">Real-time Multi-agent-based Decision-making Approach for Dynamic Machine Tool Selection Problem</t>
  </si>
  <si>
    <t xml:space="preserve">10.1145/3424978.3425033</t>
  </si>
  <si>
    <t xml:space="preserve">R0570</t>
  </si>
  <si>
    <t xml:space="preserve">The role of information technology leadership in information technology role transition from support to strategic: Case study of the national institute of aeronautics and space</t>
  </si>
  <si>
    <t xml:space="preserve">10.1109/ICITSI50517.2020.9264924</t>
  </si>
  <si>
    <t xml:space="preserve">R0571</t>
  </si>
  <si>
    <t xml:space="preserve">SWIM Service Trust Framework to Ensure the Safety of Flight Operations</t>
  </si>
  <si>
    <t xml:space="preserve">10.1109/GCCE59613.2023.10315499</t>
  </si>
  <si>
    <t xml:space="preserve">R0572</t>
  </si>
  <si>
    <t xml:space="preserve">Guest Editorial Introduction to the Special Issue on Unmanned Aircraft System Traffic Management</t>
  </si>
  <si>
    <t xml:space="preserve">10.1109/TITS.2021.3101543</t>
  </si>
  <si>
    <t xml:space="preserve">R0573</t>
  </si>
  <si>
    <t xml:space="preserve">Performance Analysis of Relative GPS Positioning as Function of Communication Latency</t>
  </si>
  <si>
    <t xml:space="preserve">10.1109/LARS/SBR/WRE54079.2021.9605477</t>
  </si>
  <si>
    <t xml:space="preserve">R0574</t>
  </si>
  <si>
    <t xml:space="preserve">Cybersecurity Challenges of Multi-Domain Traffic Management and Aerospace Cyber-Physical Systems</t>
  </si>
  <si>
    <t xml:space="preserve">10.1109/DASC/PiCom/CBDCom/Cy59711.2023.10361519</t>
  </si>
  <si>
    <t xml:space="preserve">R0575</t>
  </si>
  <si>
    <t xml:space="preserve">VLEO Satellite Constellation Design for Regional Coverage of Aviation and Marine Users</t>
  </si>
  <si>
    <t xml:space="preserve">10.1109/GLOBECOM54140.2023.10437112</t>
  </si>
  <si>
    <t xml:space="preserve">R0576</t>
  </si>
  <si>
    <t xml:space="preserve">Low-altitude Aircraft Surveillance Approach Based on ADS-B and Photoelectric Turntable</t>
  </si>
  <si>
    <t xml:space="preserve">10.1109/ICCASIT55263.2022.9987140</t>
  </si>
  <si>
    <t xml:space="preserve">R0577</t>
  </si>
  <si>
    <t xml:space="preserve">Research on Communication APP for Deaf and Mute People Based on Face Emotion Recognition Technology</t>
  </si>
  <si>
    <t xml:space="preserve">10.1109/ICCASIT50869.2020.9368771</t>
  </si>
  <si>
    <t xml:space="preserve">R0578</t>
  </si>
  <si>
    <t xml:space="preserve">Design and Realization of Intelligent Airborne Information Processing Concept Simulation System</t>
  </si>
  <si>
    <t xml:space="preserve">10.1109/HPCC-DSS-SmartCity-DependSys57074.2022.00304</t>
  </si>
  <si>
    <t xml:space="preserve">R0579</t>
  </si>
  <si>
    <t xml:space="preserve">Parametric Study of Structured UTM Separation Recommendations with Physics-Based Monte Carlo Distribution for Collision Risk Model</t>
  </si>
  <si>
    <t xml:space="preserve">10.3390/drones7060345</t>
  </si>
  <si>
    <t xml:space="preserve">R0580</t>
  </si>
  <si>
    <t xml:space="preserve">A Unified Airspace Risk Management Framework for UAS Operations</t>
  </si>
  <si>
    <t xml:space="preserve">10.3390/drones6070184</t>
  </si>
  <si>
    <t xml:space="preserve">R0583</t>
  </si>
  <si>
    <t xml:space="preserve">AeroMACS Application at HongQiao Airport of China</t>
  </si>
  <si>
    <t xml:space="preserve">10.1109/ICCASIT50869.2020.9368627</t>
  </si>
  <si>
    <t xml:space="preserve">R0584</t>
  </si>
  <si>
    <t xml:space="preserve">Revitalizing rural communities through enhanced aviation microwave data transmission systems</t>
  </si>
  <si>
    <t xml:space="preserve">10.1109/SIEDS.2019.8735609</t>
  </si>
  <si>
    <t xml:space="preserve">R0585</t>
  </si>
  <si>
    <t xml:space="preserve">Impact Analysis of Induced FM Radio Interferences on Aeronautical Radio Navigation Systems: Case Study of Kotoka International Airport, Accra-Ghana</t>
  </si>
  <si>
    <t xml:space="preserve">10.1109/ICCMA.2019.00011</t>
  </si>
  <si>
    <t xml:space="preserve">R0586</t>
  </si>
  <si>
    <t xml:space="preserve">Data Generation and Separation of AM Radio Collisions with Machine Learning</t>
  </si>
  <si>
    <t xml:space="preserve">10.1117/12.2662948</t>
  </si>
  <si>
    <t xml:space="preserve">R0587</t>
  </si>
  <si>
    <t xml:space="preserve">USING 5G’S NON-3GPP INTER-WORKING FUNCTION TO SUPPORT HETEROGENEOUS NETWORKING IN AERONAUTICAL MOBILE TELEMETRY</t>
  </si>
  <si>
    <t xml:space="preserve">R0588</t>
  </si>
  <si>
    <t xml:space="preserve">IoT Based Automative Drive Recorder As Black Box</t>
  </si>
  <si>
    <t xml:space="preserve">10.1109/ICCPC55978.2022.10072081</t>
  </si>
  <si>
    <t xml:space="preserve">R0589</t>
  </si>
  <si>
    <t xml:space="preserve">Research and Application of Configuring Monitoring User Group of FREQUENTIS in Beijing Area Control Center</t>
  </si>
  <si>
    <t xml:space="preserve">10.1109/ICCASIT48058.2019.8973010</t>
  </si>
  <si>
    <t xml:space="preserve">R0590</t>
  </si>
  <si>
    <t xml:space="preserve">DICOS: Part of the solution for an interoperable, open airport architecture</t>
  </si>
  <si>
    <t xml:space="preserve">10.1117/12.2580052</t>
  </si>
  <si>
    <t xml:space="preserve">R0591</t>
  </si>
  <si>
    <t xml:space="preserve">Human factor failure in hybrid warfare and its impact on airport security</t>
  </si>
  <si>
    <t xml:space="preserve">10.47459/cndcgs.2020.17</t>
  </si>
  <si>
    <t xml:space="preserve">R0592</t>
  </si>
  <si>
    <t xml:space="preserve">Analysis of ICT implementation and learning model for air traffic controller surveillance training</t>
  </si>
  <si>
    <t xml:space="preserve">10.1109/ICITSI50517.2020.9264957</t>
  </si>
  <si>
    <t xml:space="preserve">R0593</t>
  </si>
  <si>
    <t xml:space="preserve">A Novel Medium Access Control Scheme with Multi-AP for WiFi Networks</t>
  </si>
  <si>
    <t xml:space="preserve">10.1109/ICCASIT50869.2020.9368589</t>
  </si>
  <si>
    <t xml:space="preserve">R0594</t>
  </si>
  <si>
    <t xml:space="preserve">Identification of Key Nodes in Aircraft State Network Based on Complex Network Theory</t>
  </si>
  <si>
    <t xml:space="preserve">10.1109/ACCESS.2019.2915508</t>
  </si>
  <si>
    <t xml:space="preserve">R0595</t>
  </si>
  <si>
    <t xml:space="preserve">Event-Triggered Model Predictive Control for Compartmental Systems with Application to Congestion Control of Air Traffic Networks</t>
  </si>
  <si>
    <t xml:space="preserve">10.1109/CCTA54093.2023.10252587</t>
  </si>
  <si>
    <t xml:space="preserve">R0597</t>
  </si>
  <si>
    <t xml:space="preserve">Progressing Toward Airliners’ Reduced-Crew Operations: A Systematic Literature Review</t>
  </si>
  <si>
    <t xml:space="preserve">10.1080/24721840.2019.1696196</t>
  </si>
  <si>
    <t xml:space="preserve">R0598</t>
  </si>
  <si>
    <t xml:space="preserve">UTSim: A framework and simulator for UAV air traffic integration, control, and communication</t>
  </si>
  <si>
    <t xml:space="preserve">10.1177/1729881419870937</t>
  </si>
  <si>
    <t xml:space="preserve">R0600</t>
  </si>
  <si>
    <t xml:space="preserve">Research and Implementation of No-Entry Bar Control System Powered by Solar Power System</t>
  </si>
  <si>
    <t xml:space="preserve">10.1109/ICCASIT50869.2020.9368816</t>
  </si>
  <si>
    <t xml:space="preserve">R0601</t>
  </si>
  <si>
    <t xml:space="preserve">A systems analysis of army long range and support fires</t>
  </si>
  <si>
    <t xml:space="preserve">10.1109/SYSCON.2019.8836774</t>
  </si>
  <si>
    <t xml:space="preserve">R0602</t>
  </si>
  <si>
    <t xml:space="preserve">Identifying influence coefficient based on SEM of service industry</t>
  </si>
  <si>
    <t xml:space="preserve">10.1007/978-981-15-2568-1_25</t>
  </si>
  <si>
    <t xml:space="preserve">R0603</t>
  </si>
  <si>
    <t xml:space="preserve">Deep Learning-Based Approach for Civil Aircraft Hazard Identification and Prediction</t>
  </si>
  <si>
    <t xml:space="preserve">10.1109/ACCESS.2020.2997371</t>
  </si>
  <si>
    <t xml:space="preserve">R0604</t>
  </si>
  <si>
    <t xml:space="preserve">A Lightweight Security Authentication Method for the Charging Protocol of Smart Charging Pile</t>
  </si>
  <si>
    <t xml:space="preserve">10.1145/3434581.3434728</t>
  </si>
  <si>
    <t xml:space="preserve">R0605</t>
  </si>
  <si>
    <t xml:space="preserve">Meandered low profile multiband antenna for wireless communication applications</t>
  </si>
  <si>
    <t xml:space="preserve">10.1007/s11276-020-02437-6</t>
  </si>
  <si>
    <t xml:space="preserve">R0606</t>
  </si>
  <si>
    <t xml:space="preserve">Cyber Threats and Cybersecurity Reassessed in UAV-assisted Cyber Physical Systems</t>
  </si>
  <si>
    <t xml:space="preserve">10.1109/ICUFN55119.2022.9829584</t>
  </si>
  <si>
    <t xml:space="preserve">R0607</t>
  </si>
  <si>
    <t xml:space="preserve">Predictive maintenance and monitoring of industrial machine using machine learning</t>
  </si>
  <si>
    <t xml:space="preserve">10.12694/scpe.v20i4.1585</t>
  </si>
  <si>
    <t xml:space="preserve">R0608</t>
  </si>
  <si>
    <t xml:space="preserve">Prediction of Flight Delay through Intelligent Algorithms and Big Data Technology</t>
  </si>
  <si>
    <t xml:space="preserve">10.1109/ICAAIC56838.2023.10141246</t>
  </si>
  <si>
    <t xml:space="preserve">R0609</t>
  </si>
  <si>
    <t xml:space="preserve">Communication Demand in the National Airspace - A Federated Learning Approach</t>
  </si>
  <si>
    <t xml:space="preserve">10.1109/ICNS54818.2022.9771527</t>
  </si>
  <si>
    <t xml:space="preserve">R0610</t>
  </si>
  <si>
    <t xml:space="preserve">IoT-Based Heart Rate Monitoring System Designed For Pilots</t>
  </si>
  <si>
    <t xml:space="preserve">10.1109/ICEMCE57940.2023.10434255</t>
  </si>
  <si>
    <t xml:space="preserve">R0611</t>
  </si>
  <si>
    <t xml:space="preserve">Comprehensive Review on Aviation Operator's Total Loads</t>
  </si>
  <si>
    <t xml:space="preserve">10.1109/NTAD57912.2022.10013609</t>
  </si>
  <si>
    <t xml:space="preserve">R0612</t>
  </si>
  <si>
    <t xml:space="preserve">Modeling and Simulation for Reliable LTE-based Communications in the National Airspace System: A UAS C2 use case</t>
  </si>
  <si>
    <t xml:space="preserve">R0613</t>
  </si>
  <si>
    <t xml:space="preserve">Rapid Prototyping and International Validation Activity for the L-Band Digital Aeronautical Communications System (LDACS)</t>
  </si>
  <si>
    <t xml:space="preserve">10.1109/OJCOMS.2023.3312110</t>
  </si>
  <si>
    <t xml:space="preserve">R0614</t>
  </si>
  <si>
    <t xml:space="preserve">Design of Civil Aviation Security Check Passenger Identification System Based on Residual Convolution Network</t>
  </si>
  <si>
    <t xml:space="preserve">10.4108/eetsis.v10i1.2587</t>
  </si>
  <si>
    <t xml:space="preserve">R0616</t>
  </si>
  <si>
    <t xml:space="preserve">Research on iterative receiving algorithm for aviation communication system</t>
  </si>
  <si>
    <t xml:space="preserve">10.1109/ICCICC50026.2020.9450266</t>
  </si>
  <si>
    <t xml:space="preserve">R0617</t>
  </si>
  <si>
    <t xml:space="preserve">DFMC SBAS prototype system performance using global monitoring stations of QZSS</t>
  </si>
  <si>
    <t xml:space="preserve">10.33012/2019.16789</t>
  </si>
  <si>
    <t xml:space="preserve">R0618</t>
  </si>
  <si>
    <t xml:space="preserve">Research on Real-Time Low Air Image Intelligence Image Acquisition and Processing Methods</t>
  </si>
  <si>
    <t xml:space="preserve">10.1007/978-3-030-15127-0_3</t>
  </si>
  <si>
    <t xml:space="preserve">R0619</t>
  </si>
  <si>
    <t xml:space="preserve">A Robust Control Technique for Pitch Control of an Aeropendulum</t>
  </si>
  <si>
    <t xml:space="preserve">10.1109/RCAE59706.2023.10398789</t>
  </si>
  <si>
    <t xml:space="preserve">R0620</t>
  </si>
  <si>
    <t xml:space="preserve">Flight Trajectory Prediction Based on Hybrid-Recurrent Networks</t>
  </si>
  <si>
    <t xml:space="preserve">10.1109/CCAAW50069.2021.9527299</t>
  </si>
  <si>
    <t xml:space="preserve">R0621</t>
  </si>
  <si>
    <t xml:space="preserve">Anti-Collision System for Small Civil Aircraft</t>
  </si>
  <si>
    <t xml:space="preserve">10.3390/app12031648</t>
  </si>
  <si>
    <t xml:space="preserve">R0622</t>
  </si>
  <si>
    <t xml:space="preserve">A Novel DME Pulse Waveform for EMC Optimization with L-DACS1</t>
  </si>
  <si>
    <t xml:space="preserve">10.23919/ACES-China60289.2023.10249689</t>
  </si>
  <si>
    <t xml:space="preserve">R0623</t>
  </si>
  <si>
    <t xml:space="preserve">INTELLIGENT COMMUNICATION SYSTEM BASED ON AUTOMATIC SPEECH RECOGNITION-COMPILING CORPUS OF PHRASEOLOGY</t>
  </si>
  <si>
    <t xml:space="preserve">R0624</t>
  </si>
  <si>
    <t xml:space="preserve">Simulation Analysis of Influence of Nearby Buildings on the VOR</t>
  </si>
  <si>
    <t xml:space="preserve">10.1109/IAEAC47372.2019.8997707</t>
  </si>
  <si>
    <t xml:space="preserve">R0625</t>
  </si>
  <si>
    <t xml:space="preserve">Human Factors and Human Performance in UAS Operations. The Case of UAS Pilots in UAM Operations</t>
  </si>
  <si>
    <t xml:space="preserve">10.1007/978-3-031-35389-5_18</t>
  </si>
  <si>
    <t xml:space="preserve">R0626</t>
  </si>
  <si>
    <t xml:space="preserve">Using IoT for Management of Bicycle Tour Groups</t>
  </si>
  <si>
    <t xml:space="preserve">10.1109/ECICE55674.2022.10042836</t>
  </si>
  <si>
    <t xml:space="preserve">R0627</t>
  </si>
  <si>
    <t xml:space="preserve">Interference Investigation of Wireless ISM Band Devices in Rescue Helicopters</t>
  </si>
  <si>
    <t xml:space="preserve">10.1109/IDAACS-SWS50031.2020.9297095</t>
  </si>
  <si>
    <t xml:space="preserve">R0628</t>
  </si>
  <si>
    <t xml:space="preserve">Simulation and Frequency Selection of Improved ITS Aviation Channel Model Based on Nakagami-m Function</t>
  </si>
  <si>
    <t xml:space="preserve">10.23919/CCC52363.2021.9549457</t>
  </si>
  <si>
    <t xml:space="preserve">R0629</t>
  </si>
  <si>
    <t xml:space="preserve">Access Control with Automated on Duty Notification Tool in air traffic Services</t>
  </si>
  <si>
    <t xml:space="preserve">10.1109/icABCD49160.2020.9183828</t>
  </si>
  <si>
    <t xml:space="preserve">R0630</t>
  </si>
  <si>
    <t xml:space="preserve">An Industrial PaaS Platform Based on E-cloud</t>
  </si>
  <si>
    <t xml:space="preserve">10.1145/3434581.3434631</t>
  </si>
  <si>
    <t xml:space="preserve">R0631</t>
  </si>
  <si>
    <t xml:space="preserve">Research on the Calculation Method of the Signal in Space User Range Error for Beidou Navigation Satellite System</t>
  </si>
  <si>
    <t xml:space="preserve">10.1109/ICCASIT50869.2020.9368871</t>
  </si>
  <si>
    <t xml:space="preserve">R0632</t>
  </si>
  <si>
    <t xml:space="preserve">Research on Data Transmission System of Aircraft Structural Strength Test based on Genetic Algorithm</t>
  </si>
  <si>
    <t xml:space="preserve">10.1145/3544109.3544393</t>
  </si>
  <si>
    <t xml:space="preserve">R0633</t>
  </si>
  <si>
    <t xml:space="preserve">Framework for Mid-Air Traffic Collision Detection Using Data Analytics</t>
  </si>
  <si>
    <t xml:space="preserve">10.1007/978-3-030-76653-5_24</t>
  </si>
  <si>
    <t xml:space="preserve">R0634</t>
  </si>
  <si>
    <t xml:space="preserve">A Data Scheduling Algorithm Based on Link Distance in Directional Aviation Relay Network</t>
  </si>
  <si>
    <t xml:space="preserve">10.1007/978-3-030-69514-9_33</t>
  </si>
  <si>
    <t xml:space="preserve">R0635</t>
  </si>
  <si>
    <t xml:space="preserve">Performance Analysis of Anti-Interference Cooperative NOMA System for Aviation Data Links</t>
  </si>
  <si>
    <t xml:space="preserve">10.3390/electronics12102182</t>
  </si>
  <si>
    <t xml:space="preserve">R0636</t>
  </si>
  <si>
    <t xml:space="preserve">A Novel Method for Fast Generation of Electromagnetic Model of Multi-core Aviation Connector Based on Method of Moments (MOM)</t>
  </si>
  <si>
    <t xml:space="preserve">10.1109/APEMC53576.2022.9888314</t>
  </si>
  <si>
    <t xml:space="preserve">R0637</t>
  </si>
  <si>
    <t xml:space="preserve">Algorithm of optimal control over the output power of the transmitter of an automatic dependent surveillance broadcast transponder</t>
  </si>
  <si>
    <t xml:space="preserve">10.1109/WECONF51603.2021.9470720</t>
  </si>
  <si>
    <t xml:space="preserve">R0638</t>
  </si>
  <si>
    <t xml:space="preserve">Global navigation satellite systems contributing to space weather services for civil aviation</t>
  </si>
  <si>
    <t xml:space="preserve">10.23919/ENC48637.2020.9317314</t>
  </si>
  <si>
    <t xml:space="preserve">R0639</t>
  </si>
  <si>
    <t xml:space="preserve">Recent developments of modern avionic systems in aeronautical applications</t>
  </si>
  <si>
    <t xml:space="preserve">10.5373/JARDCS/V11SP12/20193294</t>
  </si>
  <si>
    <t xml:space="preserve">R0640</t>
  </si>
  <si>
    <t xml:space="preserve">Researches and Tests of the Aviation Radio-Electronic Equipment in the USSR</t>
  </si>
  <si>
    <t xml:space="preserve">10.1109/EnT.2019.00031</t>
  </si>
  <si>
    <t xml:space="preserve">R0641</t>
  </si>
  <si>
    <t xml:space="preserve">Research on typical civil aviation maintenance control System based on Gray Wolf Algorithm</t>
  </si>
  <si>
    <t xml:space="preserve">10.1109/ACEDPI58926.2023.00008</t>
  </si>
  <si>
    <t xml:space="preserve">R0643</t>
  </si>
  <si>
    <t xml:space="preserve">A Simulation and Verification Platform for Avionics Systems Based on Future Airborne Capability Environment Architecture</t>
  </si>
  <si>
    <t xml:space="preserve">10.3390/app122211533</t>
  </si>
  <si>
    <t xml:space="preserve">R0644</t>
  </si>
  <si>
    <t xml:space="preserve">Interdisciplinary Aspects of Development and Software Implementation of Electronic Textbooks for Students of Technical Universities</t>
  </si>
  <si>
    <t xml:space="preserve">10.1007/978-3-030-46895-8_9</t>
  </si>
  <si>
    <t xml:space="preserve">R0645</t>
  </si>
  <si>
    <t xml:space="preserve">Global and Secured UAV Authentication System based on Hardware-Security</t>
  </si>
  <si>
    <t xml:space="preserve">10.1109/MobileCloud48802.2020.00020</t>
  </si>
  <si>
    <t xml:space="preserve">R0646</t>
  </si>
  <si>
    <t xml:space="preserve">Design and test of high availability airborne communication network based on tan principle</t>
  </si>
  <si>
    <t xml:space="preserve">10.1109/ICCASIT48058.2019.8973116</t>
  </si>
  <si>
    <t xml:space="preserve">R0647</t>
  </si>
  <si>
    <t xml:space="preserve">Emerging Technologies in Transportation: The Simulated Air Traffic Control Environment (SATCE) Case Study</t>
  </si>
  <si>
    <t xml:space="preserve">10.54941/ahfe1004282</t>
  </si>
  <si>
    <t xml:space="preserve">R0648</t>
  </si>
  <si>
    <t xml:space="preserve">Acoustically Coupled Passive Wireless Sensor System With Mechanical Resonant Sensor</t>
  </si>
  <si>
    <t xml:space="preserve">10.1109/WiSEE49342.2022.9926923</t>
  </si>
  <si>
    <t xml:space="preserve">R0649</t>
  </si>
  <si>
    <t xml:space="preserve">Distributed Reactive Model Predictive Control for Collision Avoidance of Unmanned Aerial Vehicles in Civil Airspace</t>
  </si>
  <si>
    <t xml:space="preserve">10.1007/s10846-019-01047-5</t>
  </si>
  <si>
    <t xml:space="preserve">R0650</t>
  </si>
  <si>
    <t xml:space="preserve">Multi-satellite Spectrum Allocation Algorithm Based on Graph Coloring Theory</t>
  </si>
  <si>
    <t xml:space="preserve">10.1145/3434581.3434702</t>
  </si>
  <si>
    <t xml:space="preserve">R0651</t>
  </si>
  <si>
    <t xml:space="preserve">DFMC SBAS approach concept</t>
  </si>
  <si>
    <t xml:space="preserve">10.33012/2021.18048</t>
  </si>
  <si>
    <t xml:space="preserve">R0652</t>
  </si>
  <si>
    <t xml:space="preserve">Investigation and evaluation of multi-carrier air interfaces for L-Band and C-Band in CR air to ground coordination</t>
  </si>
  <si>
    <t xml:space="preserve">10.1109/ICICCS51141.2021.9432166</t>
  </si>
  <si>
    <t xml:space="preserve">R0653</t>
  </si>
  <si>
    <t xml:space="preserve">Advanced Collision and Obstruction Detection and Prevention using ESP-32 &amp; Deep Learning</t>
  </si>
  <si>
    <t xml:space="preserve">10.1109/ICACRS58579.2023.10405347</t>
  </si>
  <si>
    <t xml:space="preserve">R0654</t>
  </si>
  <si>
    <t xml:space="preserve">Measuring Resiliency for Withstanding and Rapid Recovery of NAS Events</t>
  </si>
  <si>
    <t xml:space="preserve">10.1109/ICNS50378.2020.9222858</t>
  </si>
  <si>
    <t xml:space="preserve">R0655</t>
  </si>
  <si>
    <t xml:space="preserve">Cybersecurity Enterprises Policies: A Comparative Study</t>
  </si>
  <si>
    <t xml:space="preserve">10.3390/s22020538</t>
  </si>
  <si>
    <t xml:space="preserve">R0656</t>
  </si>
  <si>
    <t xml:space="preserve">Evaluation of an unique communication interface system D2X for uavs intercommunicating with air and ground UTM users</t>
  </si>
  <si>
    <t xml:space="preserve">10.1109/ICNSURV.2019.8735159</t>
  </si>
  <si>
    <t xml:space="preserve">R0657</t>
  </si>
  <si>
    <t xml:space="preserve">Cooperative surveillance systems and digital-technology enabler for a real-time standard terminal arrival schedule displacement</t>
  </si>
  <si>
    <t xml:space="preserve">10.1016/j.aei.2021.101402</t>
  </si>
  <si>
    <t xml:space="preserve">R0658</t>
  </si>
  <si>
    <t xml:space="preserve">Channel Characteristics Analysis for Joint-cabin Scenario at Millimeter Wave Band</t>
  </si>
  <si>
    <t xml:space="preserve">10.1109/EMTS57498.2023.10925304</t>
  </si>
  <si>
    <t xml:space="preserve">R0659</t>
  </si>
  <si>
    <t xml:space="preserve">Towards Full Integration of Manned and Unmanned Air Traffic: A Test Case Study - Performance Results of Future All Aviation CNS Technology (FACT) Project</t>
  </si>
  <si>
    <t xml:space="preserve">10.1109/ICNS58246.2023.10124293</t>
  </si>
  <si>
    <t xml:space="preserve">R0660</t>
  </si>
  <si>
    <t xml:space="preserve">Model Tests on an Integration Method of Collision Avoidance and Radio Communication Systems with Helmet-Mounted Imaging Systems in Order to Increase Safety of Air Transport Systems</t>
  </si>
  <si>
    <t xml:space="preserve">10.1007/978-3-030-27547-1_28</t>
  </si>
  <si>
    <t xml:space="preserve">R0661</t>
  </si>
  <si>
    <t xml:space="preserve">Reason - Resilience and security of geospatial data for critical infrastructures</t>
  </si>
  <si>
    <t xml:space="preserve">R0662</t>
  </si>
  <si>
    <t xml:space="preserve">Aerial firefighter radio communication performance in a virtual training system: radio communication disruptions simulated in VR for Air Attack Supervision</t>
  </si>
  <si>
    <t xml:space="preserve">10.1007/s00371-020-01816-6</t>
  </si>
  <si>
    <t xml:space="preserve">R0663</t>
  </si>
  <si>
    <t xml:space="preserve">Improvements in Operational Efficiency at Airports Using Lte Networks for Communications</t>
  </si>
  <si>
    <t xml:space="preserve">10.1109/ICNS54818.2022.9771537</t>
  </si>
  <si>
    <t xml:space="preserve">R0664</t>
  </si>
  <si>
    <t xml:space="preserve">Advanced squirrel algorithm-trained neural network for efficient spectrum sensing in cognitive radio-based air traffic control application</t>
  </si>
  <si>
    <t xml:space="preserve">10.1049/cmu2.12111</t>
  </si>
  <si>
    <t xml:space="preserve">R0665</t>
  </si>
  <si>
    <t xml:space="preserve">A High-precision Time Synchronization Algorithm for Aviation Swarm Task Cooperation</t>
  </si>
  <si>
    <t xml:space="preserve">10.1109/ICETCI55101.2022.9832031</t>
  </si>
  <si>
    <t xml:space="preserve">R0666</t>
  </si>
  <si>
    <t xml:space="preserve">Design of Real-Time Flight Data Analysis System Based on the ATG Network</t>
  </si>
  <si>
    <t xml:space="preserve">10.1109/ICCASIT55263.2022.9987119</t>
  </si>
  <si>
    <t xml:space="preserve">R0667</t>
  </si>
  <si>
    <t xml:space="preserve">The Study of the Application of the Emergency Locator Transmitter for In-Flight Distress Tracking for China Civil Aviation Safety</t>
  </si>
  <si>
    <t xml:space="preserve">10.1109/ICCASIT53235.2021.9633612</t>
  </si>
  <si>
    <t xml:space="preserve">R0668</t>
  </si>
  <si>
    <t xml:space="preserve">Emergency messages dissemination challenges through connected vehicles for efficient intelligent transportation systems: A review</t>
  </si>
  <si>
    <t xml:space="preserve">10.21123/bsj.2020.17.4.1304</t>
  </si>
  <si>
    <t xml:space="preserve">R0670</t>
  </si>
  <si>
    <t xml:space="preserve">Military avionics access to hyper connected air traffic management</t>
  </si>
  <si>
    <t xml:space="preserve">10.1109/ICNSURV.2019.8735145</t>
  </si>
  <si>
    <t xml:space="preserve">R0671</t>
  </si>
  <si>
    <t xml:space="preserve">Zero-Bias Deep-Learning-Enabled Quickest Abnormal Event Detection in IoT</t>
  </si>
  <si>
    <t xml:space="preserve">10.1109/JIOT.2021.3126819</t>
  </si>
  <si>
    <t xml:space="preserve">R0672</t>
  </si>
  <si>
    <t xml:space="preserve">Multi-User MIMO Satellite Communications for Aviation Networks</t>
  </si>
  <si>
    <t xml:space="preserve">10.1109/VTC2021-Spring51267.2021.9448872</t>
  </si>
  <si>
    <t xml:space="preserve">R0673</t>
  </si>
  <si>
    <t xml:space="preserve">Blockchain envisioned UAV networks: Challenges, solutions, and comparisons</t>
  </si>
  <si>
    <t xml:space="preserve">10.1016/j.comcom.2020.01.023</t>
  </si>
  <si>
    <t xml:space="preserve">R0674</t>
  </si>
  <si>
    <t xml:space="preserve">Wide Area Network (WAN) Connectivity Validation on Installed Sites of Korea Augmentation Satellite System (KASS)</t>
  </si>
  <si>
    <t xml:space="preserve">10.33012/2023.19176</t>
  </si>
  <si>
    <t xml:space="preserve">R0675</t>
  </si>
  <si>
    <t xml:space="preserve">Sharing Big Data Storage for Air Traffic Management</t>
  </si>
  <si>
    <t xml:space="preserve">10.1109/ICCC56324.2022.10065656</t>
  </si>
  <si>
    <t xml:space="preserve">R0676</t>
  </si>
  <si>
    <t xml:space="preserve">Design and Development of Microstrip Patch Antenna for Communication between Pilot and Air Traffic Controller</t>
  </si>
  <si>
    <t xml:space="preserve">10.1109/INCET57972.2023.10170106</t>
  </si>
  <si>
    <t xml:space="preserve">R0677</t>
  </si>
  <si>
    <t xml:space="preserve">Cyber-physical spare parts intralogistics system for aviation MRO</t>
  </si>
  <si>
    <t xml:space="preserve">10.1016/j.aei.2023.101919</t>
  </si>
  <si>
    <t xml:space="preserve">R0680</t>
  </si>
  <si>
    <t xml:space="preserve">Beyond 2020 NextGen compliance: Human factors and cognitive loading issues for commercial and general aviation pilots</t>
  </si>
  <si>
    <t xml:space="preserve">10.1007/978-3-319-94866-9_1</t>
  </si>
  <si>
    <t xml:space="preserve">R0681</t>
  </si>
  <si>
    <t xml:space="preserve">Research on thread scheduling based on thread pool in airport vehicle information system</t>
  </si>
  <si>
    <t xml:space="preserve">10.1109/ICCASIT50869.2020.9368814</t>
  </si>
  <si>
    <t xml:space="preserve">R0682</t>
  </si>
  <si>
    <t xml:space="preserve">Revisiting UAV Authentication Schemes: Practical Attacks on Aviation Infrastructure</t>
  </si>
  <si>
    <t xml:space="preserve">10.1109/AsianHOST53231.2021.9699695</t>
  </si>
  <si>
    <t xml:space="preserve">R0683</t>
  </si>
  <si>
    <t xml:space="preserve">Real-Time Gesture Recognition System using CNN</t>
  </si>
  <si>
    <t xml:space="preserve">10.1109/ICCR56254.2022.9995789</t>
  </si>
  <si>
    <t xml:space="preserve">R0684</t>
  </si>
  <si>
    <t xml:space="preserve">An aviation sector CSIRT for Sub-Saharan Africa</t>
  </si>
  <si>
    <t xml:space="preserve">10.1007/978-3-030-43276-8_3</t>
  </si>
  <si>
    <t xml:space="preserve">R0686</t>
  </si>
  <si>
    <t xml:space="preserve">Collaborative communications between a human and a resilient safety support system</t>
  </si>
  <si>
    <t xml:space="preserve">10.1109/ICAS49788.2021.9551108</t>
  </si>
  <si>
    <t xml:space="preserve">R0687</t>
  </si>
  <si>
    <t xml:space="preserve">LDACS Broadcast Digital Voice Concept and Expected Performance</t>
  </si>
  <si>
    <t xml:space="preserve">10.1109/ICNS54818.2022.9771533</t>
  </si>
  <si>
    <t xml:space="preserve">R0688</t>
  </si>
  <si>
    <t xml:space="preserve">Outage analysis and finite SNR diversity-multiplexing tradeoff of hybrid-duplex systems for aeronautical communications</t>
  </si>
  <si>
    <t xml:space="preserve">10.1109/TWC.2019.2902550</t>
  </si>
  <si>
    <t xml:space="preserve">R0689</t>
  </si>
  <si>
    <t xml:space="preserve">Wireless Communication for Flying Cars</t>
  </si>
  <si>
    <t xml:space="preserve">10.3389/frcmn.2021.689881</t>
  </si>
  <si>
    <t xml:space="preserve">R0691</t>
  </si>
  <si>
    <t xml:space="preserve">A Content Driven Routing Protocol of the Software-defined Information-Centric Airborne Tactical Network</t>
  </si>
  <si>
    <t xml:space="preserve">10.1109/ICAICA.2019.8873524</t>
  </si>
  <si>
    <t xml:space="preserve">R0692</t>
  </si>
  <si>
    <t xml:space="preserve">AviSense: A Real-time System for Detection, Classification, and Analysis of Aviation Signals</t>
  </si>
  <si>
    <t xml:space="preserve">10.1145/3526089</t>
  </si>
  <si>
    <t xml:space="preserve">R0693</t>
  </si>
  <si>
    <t xml:space="preserve">Educational model for evaluation of airport NIS security for safe and sustainable air transport</t>
  </si>
  <si>
    <t xml:space="preserve">10.3390/SU12166352</t>
  </si>
  <si>
    <t xml:space="preserve">R0694</t>
  </si>
  <si>
    <t xml:space="preserve">Study of 5G Technology Effects on Public Health and Aviation Safety</t>
  </si>
  <si>
    <t xml:space="preserve">10.1109/MI-STA54861.2022.9837759</t>
  </si>
  <si>
    <t xml:space="preserve">R0695</t>
  </si>
  <si>
    <t xml:space="preserve">Methodology and analysis of inflatable structures for lighter than air flight systems</t>
  </si>
  <si>
    <t xml:space="preserve">10.2514/6.2019-2981</t>
  </si>
  <si>
    <t xml:space="preserve">R0696</t>
  </si>
  <si>
    <t xml:space="preserve">Monitoring the risk of the electric component imposed on a pilot during light aircraft operations in a high-frequency electromagnetic field</t>
  </si>
  <si>
    <t xml:space="preserve">10.3390/s19245537</t>
  </si>
  <si>
    <t xml:space="preserve">R0697</t>
  </si>
  <si>
    <t xml:space="preserve">Connected Aircraft for Operational Awareness</t>
  </si>
  <si>
    <t xml:space="preserve">10.1109/GCCE53005.2021.9621855</t>
  </si>
  <si>
    <t xml:space="preserve">R0699</t>
  </si>
  <si>
    <t xml:space="preserve">Collaborative Flight and Flow Information Exchange to Achieve Seamless Air Traffic Management Operation</t>
  </si>
  <si>
    <t xml:space="preserve">10.1109/ISADS45777.2019.9155791</t>
  </si>
  <si>
    <t xml:space="preserve">R0700</t>
  </si>
  <si>
    <t xml:space="preserve">On Outage Performance for Aeronautical Satellite Communications OFDM System</t>
  </si>
  <si>
    <t xml:space="preserve">10.1109/ICSC56524.2022.10009398</t>
  </si>
  <si>
    <t xml:space="preserve">R0701</t>
  </si>
  <si>
    <t xml:space="preserve">Trajectory Coordination based on Distributed Constraint Optimization Techniques in Unmanned Air Traffic Management</t>
  </si>
  <si>
    <t xml:space="preserve">R0703</t>
  </si>
  <si>
    <t xml:space="preserve">Security Architecture of Computer Communication System Based on Internet of Things</t>
  </si>
  <si>
    <t xml:space="preserve">10.1145/3434581.3434715</t>
  </si>
  <si>
    <t xml:space="preserve">R0704</t>
  </si>
  <si>
    <t xml:space="preserve">Application of New Information Technologies to the Construction of Smart Civil Aviation Based on Scientometrics Analysis of Web of Science</t>
  </si>
  <si>
    <t xml:space="preserve">10.1109/BDACS53596.2021.00068</t>
  </si>
  <si>
    <t xml:space="preserve">R0705</t>
  </si>
  <si>
    <t xml:space="preserve">Study on 4D track prediction and optimization of aircraft climbing phase</t>
  </si>
  <si>
    <t xml:space="preserve">10.1109/CISCE.2019.00106</t>
  </si>
  <si>
    <t xml:space="preserve">R0706</t>
  </si>
  <si>
    <t xml:space="preserve">Data Sharing Strategy Based on PBFT Algorithm in VANETs</t>
  </si>
  <si>
    <t xml:space="preserve">10.1145/3434581.3434689</t>
  </si>
  <si>
    <t xml:space="preserve">R0707</t>
  </si>
  <si>
    <t xml:space="preserve">Experiments with a LoRaWAN-Based Remote ID System for Locating Unmanned Aerial Vehicles (UAVs)</t>
  </si>
  <si>
    <t xml:space="preserve">10.1155/2019/9060121</t>
  </si>
  <si>
    <t xml:space="preserve">R0709</t>
  </si>
  <si>
    <t xml:space="preserve">Implementation of the Innovative Radiolocalization System VCS-MLAT (Voice Communication System - Multilateration)</t>
  </si>
  <si>
    <t xml:space="preserve">10.23919/URSI48707.2020.9254075</t>
  </si>
  <si>
    <t xml:space="preserve">R0710</t>
  </si>
  <si>
    <t xml:space="preserve">Construction and Analysis of Air Traffic Controller Fatigue Voice Database</t>
  </si>
  <si>
    <t xml:space="preserve">10.18178/wcse.2022.06.012</t>
  </si>
  <si>
    <t xml:space="preserve">R0712</t>
  </si>
  <si>
    <t xml:space="preserve">A Cost-Benefit Analysis to Achieve Command and Control (C2) Link Connectivity for beyond Visual Line of Sight (BVLOS) Operations</t>
  </si>
  <si>
    <t xml:space="preserve">10.1109/ICNS50378.2020.9222956</t>
  </si>
  <si>
    <t xml:space="preserve">R0713</t>
  </si>
  <si>
    <t xml:space="preserve">Marine Radio for Voice Communication System on Very High Frequency (VHF) Spectrum</t>
  </si>
  <si>
    <t xml:space="preserve">10.1109/ICWT47785.2019.8978220</t>
  </si>
  <si>
    <t xml:space="preserve">R0714</t>
  </si>
  <si>
    <t xml:space="preserve">Complex Division by Baudhayan Triplet Algorithm Using Novel State of the Art USP-Awadhoot Divider</t>
  </si>
  <si>
    <t xml:space="preserve">10.1109/IMCEC51613.2021.9482010</t>
  </si>
  <si>
    <t xml:space="preserve">R0715</t>
  </si>
  <si>
    <t xml:space="preserve">Receiving and decoding receiver information of global satellite navigation system</t>
  </si>
  <si>
    <t xml:space="preserve">10.1109/ITQMIS51053.2020.9322807</t>
  </si>
  <si>
    <t xml:space="preserve">R0716</t>
  </si>
  <si>
    <t xml:space="preserve">3G, HSPA and 4G LTE Network Reliability and Achievable Internet Speeds on Airborne Aircraft up to 10.000 ft Above Ground Level</t>
  </si>
  <si>
    <t xml:space="preserve">10.31449/inf.v47i5.4513</t>
  </si>
  <si>
    <t xml:space="preserve">R0717</t>
  </si>
  <si>
    <t xml:space="preserve">Experimental identification of the critical information infrastructure objects in aviation</t>
  </si>
  <si>
    <t xml:space="preserve">R0718</t>
  </si>
  <si>
    <t xml:space="preserve">Studies on the disasters criticality assessment in aviation information infrastructure</t>
  </si>
  <si>
    <t xml:space="preserve">R0719</t>
  </si>
  <si>
    <t xml:space="preserve">Aviation Channel Models Design Based on the Experimental Data: A Testbed Implementation</t>
  </si>
  <si>
    <t xml:space="preserve">10.1109/WECONF57201.2023.10147949</t>
  </si>
  <si>
    <t xml:space="preserve">R0720</t>
  </si>
  <si>
    <t xml:space="preserve">Control of a drone with body gestures</t>
  </si>
  <si>
    <t xml:space="preserve">10.1017/pds.2021.76</t>
  </si>
  <si>
    <t xml:space="preserve">R0721</t>
  </si>
  <si>
    <t xml:space="preserve">Analytical Review of Different Routing Methodologies and Clustering Techniques in WSN/WCSN leading to Cooperative Communication</t>
  </si>
  <si>
    <t xml:space="preserve">10.1109/INOCON50539.2020.9298208</t>
  </si>
  <si>
    <t xml:space="preserve">R0722</t>
  </si>
  <si>
    <t xml:space="preserve">&lt;Don’t drop the plane to fly the mic!= – Designing for Modern Radiotelephony Education in General Aviation</t>
  </si>
  <si>
    <t xml:space="preserve">10.18420/delfi2023-30</t>
  </si>
  <si>
    <t xml:space="preserve">R0723</t>
  </si>
  <si>
    <t xml:space="preserve">Optimizing UAV location awareness telemetry data for Low Power Wide Area Network</t>
  </si>
  <si>
    <t xml:space="preserve">10.1109/DSD57027.2022.00124</t>
  </si>
  <si>
    <t xml:space="preserve">R0724</t>
  </si>
  <si>
    <t xml:space="preserve">Paving the Way Towards a Comprehensive UTM Infrastructure by Evaluating Novel D2X Communication Systems for UAVS in Flight Tests</t>
  </si>
  <si>
    <t xml:space="preserve">10.1109/ICNS54818.2022.9771504</t>
  </si>
  <si>
    <t xml:space="preserve">R0725</t>
  </si>
  <si>
    <t xml:space="preserve">Measuring Airport Similarity to Create a Towering Decision Aid</t>
  </si>
  <si>
    <t xml:space="preserve">10.1109/SIEDS49339.2020.9106689</t>
  </si>
  <si>
    <t xml:space="preserve">R0726</t>
  </si>
  <si>
    <t xml:space="preserve">A plate-tectonics based neighborhood search optimizer and its application for fault monitoring in IoT systems</t>
  </si>
  <si>
    <t xml:space="preserve">10.1016/j.knosys.2021.107551</t>
  </si>
  <si>
    <t xml:space="preserve">R0729</t>
  </si>
  <si>
    <t xml:space="preserve">A TWO-STEP APPROACH TO LEVERAGE CONTEXTUAL DATA: SPEECH RECOGNITION IN AIR-TRAFFIC COMMUNICATIONS</t>
  </si>
  <si>
    <t xml:space="preserve">10.1109/ICASSP43922.2022.9746563</t>
  </si>
  <si>
    <t xml:space="preserve">R0730</t>
  </si>
  <si>
    <t xml:space="preserve">Study on Practical IoT Applications in Civil Aviation Industry</t>
  </si>
  <si>
    <t xml:space="preserve">10.1007/978-981-15-8086-4_15</t>
  </si>
  <si>
    <t xml:space="preserve">R0731</t>
  </si>
  <si>
    <t xml:space="preserve">CALL-SIGN RECOGNITION AND UNDERSTANDING FOR NOISY AIR-TRAFFIC TRANSCRIPTS USING SURVEILLANCE INFORMATION</t>
  </si>
  <si>
    <t xml:space="preserve">10.1109/ICASSP43922.2022.9746301</t>
  </si>
  <si>
    <t xml:space="preserve">R0732</t>
  </si>
  <si>
    <t xml:space="preserve">Usability Evaluation of an Emergency Alerting System to Improve Discrete Communication During Emergencies</t>
  </si>
  <si>
    <t xml:space="preserve">10.1007/978-3-031-35389-5_9</t>
  </si>
  <si>
    <t xml:space="preserve">R0733</t>
  </si>
  <si>
    <t xml:space="preserve">Predictive Model of Air Transportation Management Based on Intelligent Algorithms of Wireless Network Communication</t>
  </si>
  <si>
    <t xml:space="preserve">10.1155/2021/1414539</t>
  </si>
  <si>
    <t xml:space="preserve">R0734</t>
  </si>
  <si>
    <t xml:space="preserve">Review on Multi-pattern and Multi-polarization Smart Antennas for Aerospace Applications in Wireless Communication</t>
  </si>
  <si>
    <t xml:space="preserve">10.1007/978-3-030-49795-8_56</t>
  </si>
  <si>
    <t xml:space="preserve">R0736</t>
  </si>
  <si>
    <t xml:space="preserve">ROAD Value-based DME detection and OBE enhanced DME mitigation for LDACS</t>
  </si>
  <si>
    <t xml:space="preserve">10.1109/WPMC55625.2022.10014712</t>
  </si>
  <si>
    <t xml:space="preserve">R0737</t>
  </si>
  <si>
    <t xml:space="preserve">Application analysis of quality evaluation model based on multi-source data mining</t>
  </si>
  <si>
    <t xml:space="preserve">10.1145/3584748.3584777</t>
  </si>
  <si>
    <t xml:space="preserve">R0739</t>
  </si>
  <si>
    <t xml:space="preserve">Optimization of throughput maximization of UAV as mobile relay communication system</t>
  </si>
  <si>
    <t xml:space="preserve">10.1109/ICVRIS51417.2020.00196</t>
  </si>
  <si>
    <t xml:space="preserve">R0740</t>
  </si>
  <si>
    <t xml:space="preserve">Where cyber meets the electromagnetic spectrum</t>
  </si>
  <si>
    <t xml:space="preserve">R0741</t>
  </si>
  <si>
    <t xml:space="preserve">Artificial intelligence in a communication system for air traffic controllers' emergency training</t>
  </si>
  <si>
    <t xml:space="preserve">10.11591/ijai.v11.i3.pp986-994</t>
  </si>
  <si>
    <t xml:space="preserve">R0742</t>
  </si>
  <si>
    <t xml:space="preserve">AI Aero Science Model To Predict Security And To Improve The Fault Space System</t>
  </si>
  <si>
    <t xml:space="preserve">10.1109/ICACITE53722.2022.9823929</t>
  </si>
  <si>
    <t xml:space="preserve">R0743</t>
  </si>
  <si>
    <t xml:space="preserve">Measuring and Modeling ICAO's PBCS Performance Metrics</t>
  </si>
  <si>
    <t xml:space="preserve">10.1109/DRCN57075.2023.10108287</t>
  </si>
  <si>
    <t xml:space="preserve">R0745</t>
  </si>
  <si>
    <t xml:space="preserve">A monitoring method based on ADS-B messages and terrestrial radio spectrum data fusion</t>
  </si>
  <si>
    <t xml:space="preserve">10.23919/URSIAP-RASC.2019.8738513</t>
  </si>
  <si>
    <t xml:space="preserve">R0746</t>
  </si>
  <si>
    <t xml:space="preserve">The Concept of Determining the Energy Balance of Radio Links; "artificial Earth Satellite Aircraft" and "artificial Earth Satellite - Ground Control Point"</t>
  </si>
  <si>
    <t xml:space="preserve">10.1109/RusAutoCon52004.2021.9537418</t>
  </si>
  <si>
    <t xml:space="preserve">R0747</t>
  </si>
  <si>
    <t xml:space="preserve">Design of Gateway in Airport Intelligent Bird-repelling System</t>
  </si>
  <si>
    <t xml:space="preserve">10.1109/IAEAC47372.2019.8997967</t>
  </si>
  <si>
    <t xml:space="preserve">R0749</t>
  </si>
  <si>
    <t xml:space="preserve">Digital Twin Networks: A Survey</t>
  </si>
  <si>
    <t xml:space="preserve">10.1109/JIOT.2021.3079510</t>
  </si>
  <si>
    <t xml:space="preserve">R0750</t>
  </si>
  <si>
    <t xml:space="preserve">Electromagnetic Interference Analysis of 1000KV UHV Transmission Line on Airport Instrument Landing System</t>
  </si>
  <si>
    <t xml:space="preserve">10.1117/12.3004410</t>
  </si>
  <si>
    <t xml:space="preserve">R0751</t>
  </si>
  <si>
    <t xml:space="preserve">On Terrestrial and Satellite communications for telecommunication future</t>
  </si>
  <si>
    <t xml:space="preserve">10.1109/AiCIS51645.2020.00019</t>
  </si>
  <si>
    <t xml:space="preserve">R0752</t>
  </si>
  <si>
    <t xml:space="preserve">FACTS2: Framework for aeronautical communications and traffic simulations 2</t>
  </si>
  <si>
    <t xml:space="preserve">10.1145/3345860.3365111</t>
  </si>
  <si>
    <t xml:space="preserve">R0753</t>
  </si>
  <si>
    <t xml:space="preserve">Prospect of 5g application in civil airport</t>
  </si>
  <si>
    <t xml:space="preserve">10.1109/ICCASIT48058.2019.8973115</t>
  </si>
  <si>
    <t xml:space="preserve">R0754</t>
  </si>
  <si>
    <t xml:space="preserve">Research on Interference Suppression Methods for Indoor Visible Light Communication</t>
  </si>
  <si>
    <t xml:space="preserve">10.1117/12.3000458</t>
  </si>
  <si>
    <t xml:space="preserve">R0755</t>
  </si>
  <si>
    <t xml:space="preserve">Development of flight data recorder for general aviation aircraft with real time data transmission</t>
  </si>
  <si>
    <t xml:space="preserve">10.1109/ICCASIT53235.2021.9633449</t>
  </si>
  <si>
    <t xml:space="preserve">R0756</t>
  </si>
  <si>
    <t xml:space="preserve">Integration of a Virtual Object on Formative Object Oriented Programming for the Emavi Military Aviation School Cadets</t>
  </si>
  <si>
    <t xml:space="preserve">10.1007/978-3-031-18082-8_29</t>
  </si>
  <si>
    <t xml:space="preserve">R0757</t>
  </si>
  <si>
    <t xml:space="preserve">Investigation of Potential 5G RF Interference with C-band Radar Operations and Mitigation Solutions</t>
  </si>
  <si>
    <t xml:space="preserve">10.1117/12.2663427</t>
  </si>
  <si>
    <t xml:space="preserve">R0758</t>
  </si>
  <si>
    <t xml:space="preserve">Embedded systems development for spacecraft mid-infrared (MIR) hazardous gas detector</t>
  </si>
  <si>
    <t xml:space="preserve">10.1117/12.2618900</t>
  </si>
  <si>
    <t xml:space="preserve">R0760</t>
  </si>
  <si>
    <t xml:space="preserve">Design and Development of Lab Experimental Model of 3 Degrees of Freedom Moving Tandem Rotors System for Flight Controls</t>
  </si>
  <si>
    <t xml:space="preserve">10.1109/ETECTE59617.2023.10396693</t>
  </si>
  <si>
    <t xml:space="preserve">R0761</t>
  </si>
  <si>
    <t xml:space="preserve">Wireless Network-Aided Delay Information System Correlation with Airport Grid Distribution Based on Multideterminants Big Data</t>
  </si>
  <si>
    <t xml:space="preserve">10.1155/2023/1987326</t>
  </si>
  <si>
    <t xml:space="preserve">R0762</t>
  </si>
  <si>
    <t xml:space="preserve">Influence of aircraft power electronics processing on backup VHF radio systems</t>
  </si>
  <si>
    <t xml:space="preserve">10.3390/electronics10070777</t>
  </si>
  <si>
    <t xml:space="preserve">R0763</t>
  </si>
  <si>
    <t xml:space="preserve">Flight Testing Drone Contingencies during Runway Inspection in U-space Shared Airspace</t>
  </si>
  <si>
    <t xml:space="preserve">10.1109/ICNS58246.2023.10124322</t>
  </si>
  <si>
    <t xml:space="preserve">R0764</t>
  </si>
  <si>
    <t xml:space="preserve">Design and Implementation of Intelligent Acquisition Terminal for Aircraft AssemblyWorkshop Based on OPC_UA Protocol</t>
  </si>
  <si>
    <t xml:space="preserve">10.1145/3495018.3495113</t>
  </si>
  <si>
    <t xml:space="preserve">R0766</t>
  </si>
  <si>
    <t xml:space="preserve">Investigation of self-adaptive drilling of CFRP/Al stacks based on equivalent impedance recognition of the vibration-assisted device</t>
  </si>
  <si>
    <t xml:space="preserve">10.1007/s00170-022-10267-3</t>
  </si>
  <si>
    <t xml:space="preserve">R0767</t>
  </si>
  <si>
    <t xml:space="preserve">Bit Pair Recoding Algorithm for Digital Filter Design in Communication System</t>
  </si>
  <si>
    <t xml:space="preserve">10.1109/IEIT59852.2023.10335515</t>
  </si>
  <si>
    <t xml:space="preserve">R0768</t>
  </si>
  <si>
    <t xml:space="preserve">Cross-Domain Authentication Scheme Based on Blockchain and Consistent Hash Algorithm for System-Wide Information Management</t>
  </si>
  <si>
    <t xml:space="preserve">10.32604/cmc.2023.042305</t>
  </si>
  <si>
    <t xml:space="preserve">R0770</t>
  </si>
  <si>
    <t xml:space="preserve">IRIDIUM LOW EARTH ORBIT SATELLITE SYSTEM</t>
  </si>
  <si>
    <t xml:space="preserve">R0771</t>
  </si>
  <si>
    <t xml:space="preserve">Attestation-enabled secure and scalable routing protocol for IoT networks</t>
  </si>
  <si>
    <t xml:space="preserve">10.1016/j.adhoc.2019.102054</t>
  </si>
  <si>
    <t xml:space="preserve">R0773</t>
  </si>
  <si>
    <t xml:space="preserve">Hazard Analysis of Large Cargo Delivery UAVs under the Chinese Air Traffic Control System</t>
  </si>
  <si>
    <t xml:space="preserve">10.1109/SIEDS52267.2021.9483732</t>
  </si>
  <si>
    <t xml:space="preserve">R0775</t>
  </si>
  <si>
    <t xml:space="preserve">Multimedia Professional Content Foreign Language Competency Formation in a Digital Educational System Exemplified by Stepik Framework</t>
  </si>
  <si>
    <t xml:space="preserve">10.1007/978-3-030-47415-7_38</t>
  </si>
  <si>
    <t xml:space="preserve">R0777</t>
  </si>
  <si>
    <t xml:space="preserve">Enhancement of ground-to-aircraft communication using audio watermarking</t>
  </si>
  <si>
    <t xml:space="preserve">10.26636/jtit.2019.128418</t>
  </si>
  <si>
    <t xml:space="preserve">R0778</t>
  </si>
  <si>
    <t xml:space="preserve">ACPS: Design of an Integrated Architecture for Airborne System and Cyber-Physical System</t>
  </si>
  <si>
    <t xml:space="preserve">10.1109/ICNS58246.2023.10124298</t>
  </si>
  <si>
    <t xml:space="preserve">R0779</t>
  </si>
  <si>
    <t xml:space="preserve">Implementing the REPAIRER human factors safety reporting system through MRM(MxHF) to meet SMS compliance in aviation maintenance</t>
  </si>
  <si>
    <t xml:space="preserve">10.1007/978-3-030-20497-6_5</t>
  </si>
  <si>
    <t xml:space="preserve">R0780</t>
  </si>
  <si>
    <t xml:space="preserve">Characterizing national airspace system operations using automated voice data processing: A case study exploring approach procedure utilization</t>
  </si>
  <si>
    <t xml:space="preserve">R0781</t>
  </si>
  <si>
    <t xml:space="preserve">Dynamic Airspace Re-configuration for Drones with Varying Mission Requirements</t>
  </si>
  <si>
    <t xml:space="preserve">R0782</t>
  </si>
  <si>
    <t xml:space="preserve">An idea of using digital twin to perform the functional safety and cybersecurity analysis</t>
  </si>
  <si>
    <t xml:space="preserve">10.18420/inf2019_ws32</t>
  </si>
  <si>
    <t xml:space="preserve">R0783</t>
  </si>
  <si>
    <t xml:space="preserve">Network resource analysis and evaluation research oriented to task requirements</t>
  </si>
  <si>
    <t xml:space="preserve">10.1117/12.3012254</t>
  </si>
  <si>
    <t xml:space="preserve">R0784</t>
  </si>
  <si>
    <t xml:space="preserve">Bi-level programming model and KKT penalty function solution approach for reliable hub location problem</t>
  </si>
  <si>
    <t xml:space="preserve">10.1016/j.eswa.2021.115505</t>
  </si>
  <si>
    <t xml:space="preserve">R0785</t>
  </si>
  <si>
    <t xml:space="preserve">Optimal path planning of lawn mower based on trajectory tracking control in civil aviation airport</t>
  </si>
  <si>
    <t xml:space="preserve">10.1145/3482632.3484051</t>
  </si>
  <si>
    <t xml:space="preserve">R0786</t>
  </si>
  <si>
    <t xml:space="preserve">Analysis of packet switching technology in civil aviation data transmission network</t>
  </si>
  <si>
    <t xml:space="preserve">10.1109/ICCASIT48058.2019.8973225</t>
  </si>
  <si>
    <t xml:space="preserve">R0787</t>
  </si>
  <si>
    <t xml:space="preserve">Exploring human factors issues for urban air mobility operations</t>
  </si>
  <si>
    <t xml:space="preserve">10.2514/6.2019-3629</t>
  </si>
  <si>
    <t xml:space="preserve">R0788</t>
  </si>
  <si>
    <t xml:space="preserve">A New Frequency Hopping Signal Detection of Civil UAV Based on Improved K-Means Clustering Algorithm</t>
  </si>
  <si>
    <t xml:space="preserve">10.1109/ACCESS.2021.3070491</t>
  </si>
  <si>
    <t xml:space="preserve">R0789</t>
  </si>
  <si>
    <t xml:space="preserve">An Anti-Time Domain Impulse Interference Algorithm for Aviation Swarms Communication System</t>
  </si>
  <si>
    <t xml:space="preserve">10.1109/ICAICA54878.2022.9844429</t>
  </si>
  <si>
    <t xml:space="preserve">R0791</t>
  </si>
  <si>
    <t xml:space="preserve">Design and Application of a Small ROV Control System Based on ArduSub System</t>
  </si>
  <si>
    <t xml:space="preserve">10.1109/ICCASIT50869.2020.9368667</t>
  </si>
  <si>
    <t xml:space="preserve">R0792</t>
  </si>
  <si>
    <t xml:space="preserve">4D Trajectory Negotiation to Achieve Situational and Operational Awareness for Air Traffic Management</t>
  </si>
  <si>
    <t xml:space="preserve">10.1109/ISADS56919.2023.10091979</t>
  </si>
  <si>
    <t xml:space="preserve">R0793</t>
  </si>
  <si>
    <t xml:space="preserve">DAA solution on UTM</t>
  </si>
  <si>
    <t xml:space="preserve">10.1109/ICNS52807.2021.9441641</t>
  </si>
  <si>
    <t xml:space="preserve">R0795</t>
  </si>
  <si>
    <t xml:space="preserve">Targeted Learning for the Dynamic Selection of Channel Estimation Methodology</t>
  </si>
  <si>
    <t xml:space="preserve">10.1109/SMARTCOMP50058.2020.00055</t>
  </si>
  <si>
    <t xml:space="preserve">R0796</t>
  </si>
  <si>
    <t xml:space="preserve">Distributed mobility anchoring in the ATN/IPS</t>
  </si>
  <si>
    <t xml:space="preserve">10.1109/ICNSURV.2019.8735345</t>
  </si>
  <si>
    <t xml:space="preserve">R0797</t>
  </si>
  <si>
    <t xml:space="preserve">Implementation of 1553B Communication Protocol Based on FPGA</t>
  </si>
  <si>
    <t xml:space="preserve">10.1109/ITAIC58329.2023.10409095</t>
  </si>
  <si>
    <t xml:space="preserve">R0799</t>
  </si>
  <si>
    <t xml:space="preserve">Unmanned Aerial System (UAS) Swarm Design, Flight Patterns, Communication Type, Applications, and Recommendations</t>
  </si>
  <si>
    <t xml:space="preserve">10.1109/eIT53891.2022.9813866</t>
  </si>
  <si>
    <t xml:space="preserve">R0800</t>
  </si>
  <si>
    <t xml:space="preserve">Dependability of Multichannel Communication System with Maintenance Operations for Air Traffic Management</t>
  </si>
  <si>
    <t xml:space="preserve">10.1007/978-3-030-19501-4_25</t>
  </si>
  <si>
    <t xml:space="preserve">R0801</t>
  </si>
  <si>
    <t xml:space="preserve">A Machine Learning GNSS Interference Detection Method based on ADS-B Multi-index Features</t>
  </si>
  <si>
    <t xml:space="preserve">10.1109/ICNS58246.2023.10124266</t>
  </si>
  <si>
    <t xml:space="preserve">R0802</t>
  </si>
  <si>
    <t xml:space="preserve">Communication in challenging environments: Application of LEO/MEO satellite constellation to emerging aviation networks</t>
  </si>
  <si>
    <t xml:space="preserve">10.1109/ICNS52807.2021.9441549</t>
  </si>
  <si>
    <t xml:space="preserve">R0803</t>
  </si>
  <si>
    <t xml:space="preserve">Design and implementation of heterogeneous dual core data transmission system based on FSMC bus</t>
  </si>
  <si>
    <t xml:space="preserve">10.1109/ICCASIT50869.2020.9368821</t>
  </si>
  <si>
    <t xml:space="preserve">R0805</t>
  </si>
  <si>
    <t xml:space="preserve">A semantic recognition method of radiotelephony communication for apron controller based on deep learning</t>
  </si>
  <si>
    <t xml:space="preserve">10.18178/wcse.2020.06.064</t>
  </si>
  <si>
    <t xml:space="preserve">R0806</t>
  </si>
  <si>
    <t xml:space="preserve">Modelling, investigation, and feasibility of stratospheric broadband mm-wave 5g and beyond networks for aviation</t>
  </si>
  <si>
    <t xml:space="preserve">10.3390/electronics9111872</t>
  </si>
  <si>
    <t xml:space="preserve">R0807</t>
  </si>
  <si>
    <t xml:space="preserve">Cognitive Method Discussion on Communication Jamming Intelligent Decision</t>
  </si>
  <si>
    <t xml:space="preserve">10.1145/3434581.3434701</t>
  </si>
  <si>
    <t xml:space="preserve">R0808</t>
  </si>
  <si>
    <t xml:space="preserve">Space Air Ground Integrated Network: Communication Network for Air Traffic Control</t>
  </si>
  <si>
    <t xml:space="preserve">10.1109/RAEECS50817.2020.9265703</t>
  </si>
  <si>
    <t xml:space="preserve">R0810</t>
  </si>
  <si>
    <t xml:space="preserve">Application of Mobile Edge Computing Technology in Civil Aviation Express Marketing</t>
  </si>
  <si>
    <t xml:space="preserve">10.1155/2021/9932977</t>
  </si>
  <si>
    <t xml:space="preserve">R0811</t>
  </si>
  <si>
    <t xml:space="preserve">Aeromacs field trial at guilin airport of China</t>
  </si>
  <si>
    <t xml:space="preserve">10.1109/ICCASIT48058.2019.8973187</t>
  </si>
  <si>
    <t xml:space="preserve">R0812</t>
  </si>
  <si>
    <t xml:space="preserve">QoS validation tests for Aircraft Access to SWIM by Ground Taxiing Experiments</t>
  </si>
  <si>
    <t xml:space="preserve">10.1109/ISADS45777.2019.9155746</t>
  </si>
  <si>
    <t xml:space="preserve">R0814</t>
  </si>
  <si>
    <t xml:space="preserve">Dynamic Evaluation of China's Aviation Comprehensive Service Quality Based on AHP-FCE Model</t>
  </si>
  <si>
    <t xml:space="preserve">10.1109/CISCE52179.2021.9446031</t>
  </si>
  <si>
    <t xml:space="preserve">R0815</t>
  </si>
  <si>
    <t xml:space="preserve">Queuing Model of Distance Measuring Equipment for Capacity Estimation</t>
  </si>
  <si>
    <t xml:space="preserve">10.1109/ACIT49673.2020.9208984</t>
  </si>
  <si>
    <t xml:space="preserve">R0816</t>
  </si>
  <si>
    <t xml:space="preserve">Design of fuel conductivity monitoring system based on STM32 and 4G communication</t>
  </si>
  <si>
    <t xml:space="preserve">10.1117/12.2682519</t>
  </si>
  <si>
    <t xml:space="preserve">R0817</t>
  </si>
  <si>
    <t xml:space="preserve">Evaluation of the four-dimensional trajectory live flight demonstration (4DT LFD) project</t>
  </si>
  <si>
    <t xml:space="preserve">10.1109/ICNS52807.2021.9441598</t>
  </si>
  <si>
    <t xml:space="preserve">R0818</t>
  </si>
  <si>
    <t xml:space="preserve">Interoperable Test Cases to Mediate between Supply Chain’s Test Processes</t>
  </si>
  <si>
    <t xml:space="preserve">10.3390/info13100498</t>
  </si>
  <si>
    <t xml:space="preserve">R0819</t>
  </si>
  <si>
    <t xml:space="preserve">A Research on Virtual Anchor System Based on Kinect Sensory Technology</t>
  </si>
  <si>
    <t xml:space="preserve">10.1145/3434581.3434605</t>
  </si>
  <si>
    <t xml:space="preserve">R0820</t>
  </si>
  <si>
    <t xml:space="preserve">Requirements and Technologies towards Uam: Communication, Navigation, and Surveillance</t>
  </si>
  <si>
    <t xml:space="preserve">10.1109/ICNS50378.2020.9223003</t>
  </si>
  <si>
    <t xml:space="preserve">R0821</t>
  </si>
  <si>
    <t xml:space="preserve">Identification of Airspaces With Increased Coordination Effort Based on Radar Data</t>
  </si>
  <si>
    <t xml:space="preserve">10.54941/ahfe1002952</t>
  </si>
  <si>
    <t xml:space="preserve">R0822</t>
  </si>
  <si>
    <t xml:space="preserve">Research on a new concept intelligent combined UAV</t>
  </si>
  <si>
    <t xml:space="preserve">10.1145/3434581.3434609</t>
  </si>
  <si>
    <t xml:space="preserve">R0823</t>
  </si>
  <si>
    <t xml:space="preserve">Electroencephalographic Signals and Pilot Situation Awareness During Simulated Flight: A Case for Enhanced Digital Technology in General Aviation</t>
  </si>
  <si>
    <t xml:space="preserve">10.1007/978-3-030-77932-0_9</t>
  </si>
  <si>
    <t xml:space="preserve">R0824</t>
  </si>
  <si>
    <t xml:space="preserve">Concept of cybernetic ability estimation of a human-operator for next generation aircraft “fly-by-wireless”</t>
  </si>
  <si>
    <t xml:space="preserve">10.1016/j.procs.2022.09.044</t>
  </si>
  <si>
    <t xml:space="preserve">R0825</t>
  </si>
  <si>
    <t xml:space="preserve">Big Data Based Analysis of the China’s Customer Service Industry in 2019</t>
  </si>
  <si>
    <t xml:space="preserve">10.1007/978-981-33-4572-0_156</t>
  </si>
  <si>
    <t xml:space="preserve">R0826</t>
  </si>
  <si>
    <t xml:space="preserve">Flight tests for expanding AeroMACS coverage and air-ground SWIM demonstration</t>
  </si>
  <si>
    <t xml:space="preserve">10.1109/ICNS52807.2021.9441620</t>
  </si>
  <si>
    <t xml:space="preserve">R0827</t>
  </si>
  <si>
    <t xml:space="preserve">Analysis of Concealed Anger Emotion in a Neutral Speech Signal</t>
  </si>
  <si>
    <t xml:space="preserve">10.1109/DISCOVER47552.2019.9008037</t>
  </si>
  <si>
    <t xml:space="preserve">R0828</t>
  </si>
  <si>
    <t xml:space="preserve">A Method of Distance Assessment of Two Static Indian Regional Navigation Satellite System Stations</t>
  </si>
  <si>
    <t xml:space="preserve">R0829</t>
  </si>
  <si>
    <t xml:space="preserve">Issues of Increasing the Electromagnetic Compatibility of Upper-air Systems of Atmospheric Radiosonde</t>
  </si>
  <si>
    <t xml:space="preserve">10.1109/WECONF.2019.8840634</t>
  </si>
  <si>
    <t xml:space="preserve">R0830</t>
  </si>
  <si>
    <t xml:space="preserve">Wireless Passive Sensor Technology through Electrically Conductive Media over an Acoustic Channel</t>
  </si>
  <si>
    <t xml:space="preserve">10.3390/s23042043</t>
  </si>
  <si>
    <t xml:space="preserve">R0831</t>
  </si>
  <si>
    <t xml:space="preserve">Design and Implementation of Software Test System for Aviation Communication Radio Station</t>
  </si>
  <si>
    <t xml:space="preserve">10.1109/DSA52907.2021.00079</t>
  </si>
  <si>
    <t xml:space="preserve">R0832</t>
  </si>
  <si>
    <t xml:space="preserve">Research on the Design Elements and Key Contents of SB as Flight Procedures</t>
  </si>
  <si>
    <t xml:space="preserve">10.1109/ICCASIT53235.2021.9633627</t>
  </si>
  <si>
    <t xml:space="preserve">R0833</t>
  </si>
  <si>
    <t xml:space="preserve">Looking ahead at the cybersecurity workforce at the federal aviation administration</t>
  </si>
  <si>
    <t xml:space="preserve">R0834</t>
  </si>
  <si>
    <t xml:space="preserve">Cooperative Navigation of Personal Electronic Devices Formation Movement</t>
  </si>
  <si>
    <t xml:space="preserve">10.1007/978-3-031-36201-9_57</t>
  </si>
  <si>
    <t xml:space="preserve">R0835</t>
  </si>
  <si>
    <t xml:space="preserve">A Language-Oriented Analysis of Situation Awareness in Pilots in High-Fidelity Flight Simulation</t>
  </si>
  <si>
    <t xml:space="preserve">10.1007/978-3-030-60703-6_82</t>
  </si>
  <si>
    <t xml:space="preserve">R0836</t>
  </si>
  <si>
    <t xml:space="preserve">Design and Implementation of an IoT Based Baggage Tracking System</t>
  </si>
  <si>
    <t xml:space="preserve">10.1007/978-3-030-69143-1_47</t>
  </si>
  <si>
    <t xml:space="preserve">R0837</t>
  </si>
  <si>
    <t xml:space="preserve">Air traffic surveillance using IP-Based space information network</t>
  </si>
  <si>
    <t xml:space="preserve">10.1109/WOCC.2019.8770697</t>
  </si>
  <si>
    <t xml:space="preserve">R0839</t>
  </si>
  <si>
    <t xml:space="preserve">Effectiveness Evaluation of Ship Communication System Based on Grey Analytic Hierarchy Process</t>
  </si>
  <si>
    <t xml:space="preserve">10.1145/3434581.3434610</t>
  </si>
  <si>
    <t xml:space="preserve">R0840</t>
  </si>
  <si>
    <t xml:space="preserve">Emergence and growth of mobile money in modern india: A study on the effect of mobile money</t>
  </si>
  <si>
    <t xml:space="preserve">10.1109/ASET48392.2020.9118375</t>
  </si>
  <si>
    <t xml:space="preserve">R0842</t>
  </si>
  <si>
    <t xml:space="preserve">Low-cost ADS-B Transmitter with HackRF and GNU Radio Companion</t>
  </si>
  <si>
    <t xml:space="preserve">10.1109/DESSERT61349.2023.10416503</t>
  </si>
  <si>
    <t xml:space="preserve">R0843</t>
  </si>
  <si>
    <t xml:space="preserve">Selection of Combat Aircraft by Using Shannon Entropy and VIKOR Method</t>
  </si>
  <si>
    <t xml:space="preserve">10.14429/dsj.73.17996</t>
  </si>
  <si>
    <t xml:space="preserve">R0845</t>
  </si>
  <si>
    <t xml:space="preserve">Lessons from the Glass Cockpit: Innovation in Alarm Systems to Support Cognitive Work</t>
  </si>
  <si>
    <t xml:space="preserve">10.2345/0899-8205-55.1.29</t>
  </si>
  <si>
    <t xml:space="preserve">R0847</t>
  </si>
  <si>
    <t xml:space="preserve">Key Enabling Technologies for Drones</t>
  </si>
  <si>
    <t xml:space="preserve">10.1109/DSD51259.2020.00083</t>
  </si>
  <si>
    <t xml:space="preserve">R0850</t>
  </si>
  <si>
    <t xml:space="preserve">ATC Human Factors Involved in RPAS Contingency Management in Non-Segregated Airspace</t>
  </si>
  <si>
    <t xml:space="preserve">10.3390/app13031408</t>
  </si>
  <si>
    <t xml:space="preserve">R0851</t>
  </si>
  <si>
    <t xml:space="preserve">Localization Algorithm for Wireless Sensor Networks Based on Node Degree Estimation Distance</t>
  </si>
  <si>
    <t xml:space="preserve">10.1145/3434581.3434617</t>
  </si>
  <si>
    <t xml:space="preserve">R0852</t>
  </si>
  <si>
    <t xml:space="preserve">An Information Entropy and Ensemble Learning Approach for DR-DOS Detection within Aviation Networks</t>
  </si>
  <si>
    <t xml:space="preserve">10.1109/ICNS54818.2022.9771492</t>
  </si>
  <si>
    <t xml:space="preserve">R0853</t>
  </si>
  <si>
    <t xml:space="preserve">SUNSPOT DETECTION USING DEEP LEARNING TECHNIQUES</t>
  </si>
  <si>
    <t xml:space="preserve">R0854</t>
  </si>
  <si>
    <t xml:space="preserve">A Novel FPGA-Based Delay-Line Implementation and Interpolation Method Using TDCs</t>
  </si>
  <si>
    <t xml:space="preserve">10.1109/ICSMD60522.2023.10490980</t>
  </si>
  <si>
    <t xml:space="preserve">R0855</t>
  </si>
  <si>
    <t xml:space="preserve">Research on the Impact of TBO on Airline Planning and Scheduling</t>
  </si>
  <si>
    <t xml:space="preserve">10.1109/RCAE53607.2021.9638865</t>
  </si>
  <si>
    <t xml:space="preserve">R0856</t>
  </si>
  <si>
    <t xml:space="preserve">Edge Intelligence in 5G and beyond Aeronautical Network with LEO Satellite Backhaul</t>
  </si>
  <si>
    <t xml:space="preserve">10.1109/EuCNC/6GSummit58263.2023.10188250</t>
  </si>
  <si>
    <t xml:space="preserve">R0857</t>
  </si>
  <si>
    <t xml:space="preserve">Validating simulations of oceanic flights using data link communication messages</t>
  </si>
  <si>
    <t xml:space="preserve">10.1109/ICNSURV.2019.8735264</t>
  </si>
  <si>
    <t xml:space="preserve">R0858</t>
  </si>
  <si>
    <t xml:space="preserve">An Approach to Recognize Speech Using Convolutional Neural Network for the Multilingual Language</t>
  </si>
  <si>
    <t xml:space="preserve">10.1109/GCITC60406.2023.10426408</t>
  </si>
  <si>
    <t xml:space="preserve">R0859</t>
  </si>
  <si>
    <t xml:space="preserve">Special issue for DR. Wenxing hong: The time-triggered ethernet (tte) demonstration system design</t>
  </si>
  <si>
    <t xml:space="preserve">10.2316/J.2020.201-0069</t>
  </si>
  <si>
    <t xml:space="preserve">R0860</t>
  </si>
  <si>
    <t xml:space="preserve">IP-based Space Air Ground Information Network for Air Traffic Control Communication</t>
  </si>
  <si>
    <t xml:space="preserve">10.1109/PACRIM47961.2019.8985127</t>
  </si>
  <si>
    <t xml:space="preserve">R0862</t>
  </si>
  <si>
    <t xml:space="preserve">System of systems model building and acausal simulation environment</t>
  </si>
  <si>
    <t xml:space="preserve">10.2514/6.2019-3575</t>
  </si>
  <si>
    <t xml:space="preserve">R0863</t>
  </si>
  <si>
    <t xml:space="preserve">5G-BSS: 5G-Based Universal Blockchain Smart Sensors</t>
  </si>
  <si>
    <t xml:space="preserve">10.3390/s22124607</t>
  </si>
  <si>
    <t xml:space="preserve">R0864</t>
  </si>
  <si>
    <t xml:space="preserve">3D air-ground channel model reconstruction based on the experimental data and Q-D method</t>
  </si>
  <si>
    <t xml:space="preserve">10.3233/FAIA200799</t>
  </si>
  <si>
    <t xml:space="preserve">R0865</t>
  </si>
  <si>
    <t xml:space="preserve">GNSS Augmentation by Low-Earth-Orbit (LEO) Satellites: Integrity Performance Under Non-Ideal Conditions</t>
  </si>
  <si>
    <t xml:space="preserve">10.33012/2023.19455</t>
  </si>
  <si>
    <t xml:space="preserve">R0866</t>
  </si>
  <si>
    <t xml:space="preserve">Research and implementation of ARINC429 bus based on three verification methods</t>
  </si>
  <si>
    <t xml:space="preserve">10.1145/3448823.3448862</t>
  </si>
  <si>
    <t xml:space="preserve">R0867</t>
  </si>
  <si>
    <t xml:space="preserve">Potential Applications of Active Antenna Technologies for Emerging NASA Space Communications Scenarios</t>
  </si>
  <si>
    <t xml:space="preserve">10.23919/EuCAP48036.2020.9135544</t>
  </si>
  <si>
    <t xml:space="preserve">R0868</t>
  </si>
  <si>
    <t xml:space="preserve">Towards a Glossary of Aviation Communication Factors</t>
  </si>
  <si>
    <t xml:space="preserve">10.1007/978-3-030-50943-9_68</t>
  </si>
  <si>
    <t xml:space="preserve">R0869</t>
  </si>
  <si>
    <t xml:space="preserve">High we Fly: Wireless Witnessing and Crowdsourcing for Air-Traffic Communication Security</t>
  </si>
  <si>
    <t xml:space="preserve">10.1145/3457339.3457979</t>
  </si>
  <si>
    <t xml:space="preserve">R0870</t>
  </si>
  <si>
    <t xml:space="preserve">Intelligent Failure Forecast and Preventive Maintenance System</t>
  </si>
  <si>
    <t xml:space="preserve">10.1109/IS48319.2020.9199974</t>
  </si>
  <si>
    <t xml:space="preserve">R0871</t>
  </si>
  <si>
    <t xml:space="preserve">Uav swarm communication and control architectures: A review</t>
  </si>
  <si>
    <t xml:space="preserve">10.1139/juvs-2018-0009</t>
  </si>
  <si>
    <t xml:space="preserve">R0872</t>
  </si>
  <si>
    <t xml:space="preserve">Packet Injection System to Estimate Transmission Loss on Surveillance Radar Channels</t>
  </si>
  <si>
    <t xml:space="preserve">10.1109/ICECET52533.2021.9698590</t>
  </si>
  <si>
    <t xml:space="preserve">R0873</t>
  </si>
  <si>
    <t xml:space="preserve">A simulation framework for fast design space exploration of unmanned air system traffic management policies</t>
  </si>
  <si>
    <t xml:space="preserve">10.1109/ICNSURV.2019.8735348</t>
  </si>
  <si>
    <t xml:space="preserve">R0874</t>
  </si>
  <si>
    <t xml:space="preserve">Isolation of redundant and mixed-critical automotive applications: Effects on the system architecture</t>
  </si>
  <si>
    <t xml:space="preserve">10.1109/VTC2021-Spring51267.2021.9448672</t>
  </si>
  <si>
    <t xml:space="preserve">R0875</t>
  </si>
  <si>
    <t xml:space="preserve">A Real Time Anomaly Detection Method Based on Variable N-Gram for Flight Data</t>
  </si>
  <si>
    <t xml:space="preserve">10.1109/HPCC/SmartCity/DSS.2018.00080</t>
  </si>
  <si>
    <t xml:space="preserve">R0876</t>
  </si>
  <si>
    <t xml:space="preserve">A novel approach to emulate and detect packet loss on surveillance radar channels</t>
  </si>
  <si>
    <t xml:space="preserve">10.1109/VTC2020-Spring48590.2020.9128730</t>
  </si>
  <si>
    <t xml:space="preserve">R0878</t>
  </si>
  <si>
    <t xml:space="preserve">LDACS Navigation System Design Considerations</t>
  </si>
  <si>
    <t xml:space="preserve">10.33012/2022.18411</t>
  </si>
  <si>
    <t xml:space="preserve">R0879</t>
  </si>
  <si>
    <t xml:space="preserve">Design of high isolation CWDM narrow-band pass filter</t>
  </si>
  <si>
    <t xml:space="preserve">10.1109/ICAICA54878.2022.9844645</t>
  </si>
  <si>
    <t xml:space="preserve">R0880</t>
  </si>
  <si>
    <t xml:space="preserve">Cache based Route Optimization for Aviation Ad-Hoc Network</t>
  </si>
  <si>
    <t xml:space="preserve">10.1145/3434581.3434606</t>
  </si>
  <si>
    <t xml:space="preserve">R0881</t>
  </si>
  <si>
    <t xml:space="preserve">A Software and Application of Aviation Speech Recognition System Based on Artificial Intelligence</t>
  </si>
  <si>
    <t xml:space="preserve">10.1109/CCAT59108.2023.00018</t>
  </si>
  <si>
    <t xml:space="preserve">R0884</t>
  </si>
  <si>
    <t xml:space="preserve">Interference Analysis of Anti Micro and Small Unmanned Aircraft Systems and Code Division Multiple Access Systems at Frequency Band 835–845 MHz</t>
  </si>
  <si>
    <t xml:space="preserve">10.1007/978-3-030-90196-7_40</t>
  </si>
  <si>
    <t xml:space="preserve">R0885</t>
  </si>
  <si>
    <t xml:space="preserve">Self-similarity of Operating Modes of Aviation Engine with the Use of Wireless Data Transmission</t>
  </si>
  <si>
    <t xml:space="preserve">10.12913/22998624/105887</t>
  </si>
  <si>
    <t xml:space="preserve">R0886</t>
  </si>
  <si>
    <t xml:space="preserve">A Wideband Multilayered FSS Based on 2nd - Iteration Hexaflake Fractal Patch and Minkowski Ring Slot for Radome Application</t>
  </si>
  <si>
    <t xml:space="preserve">10.1109/IWAT.2019.8730866</t>
  </si>
  <si>
    <t xml:space="preserve">R0887</t>
  </si>
  <si>
    <t xml:space="preserve">Towards a Correct-by-Construction Design of Integrated Modular Avionics</t>
  </si>
  <si>
    <t xml:space="preserve">10.34727/2023/isbn.978-3-85448-060-0_30</t>
  </si>
  <si>
    <t xml:space="preserve">R0889</t>
  </si>
  <si>
    <t xml:space="preserve">Adaptive Beamforming Methods Based on Air-to-Ground Communication Scenarios</t>
  </si>
  <si>
    <t xml:space="preserve">10.1109/ITOEC53115.2022.9734362</t>
  </si>
  <si>
    <t xml:space="preserve">R0891</t>
  </si>
  <si>
    <t xml:space="preserve">Use of LoRa for UAV Remote ID with Multi-User Interference and Different Spreading Factors</t>
  </si>
  <si>
    <t xml:space="preserve">10.1109/VTC2021-Spring51267.2021.9448804</t>
  </si>
  <si>
    <t xml:space="preserve">R0892</t>
  </si>
  <si>
    <t xml:space="preserve">The Fault Tree in Aviation-Always Ends in Humans</t>
  </si>
  <si>
    <t xml:space="preserve">10.54941/ahfe1001274</t>
  </si>
  <si>
    <t xml:space="preserve">R0893</t>
  </si>
  <si>
    <t xml:space="preserve">Improvement of the Aircraft Aviation Equipment Diagnostic System after Flight</t>
  </si>
  <si>
    <t xml:space="preserve">10.1109/ISTP60767.2023.10427496</t>
  </si>
  <si>
    <t xml:space="preserve">R0894</t>
  </si>
  <si>
    <t xml:space="preserve">Research on Service Design and Key Problems Based on 5G Edge Network Architecture</t>
  </si>
  <si>
    <t xml:space="preserve">10.1145/3434581.3434724</t>
  </si>
  <si>
    <t xml:space="preserve">R0895</t>
  </si>
  <si>
    <t xml:space="preserve">Course Construction of Aero-engine Heat Transfer under the Background of Education Internationalization</t>
  </si>
  <si>
    <t xml:space="preserve">10.1109/ICBDIE50010.2020.00036</t>
  </si>
  <si>
    <t xml:space="preserve">R0896</t>
  </si>
  <si>
    <t xml:space="preserve">Performance Evaluation Based on Multi-UAV in Airborne Computer Network System</t>
  </si>
  <si>
    <t xml:space="preserve">10.22266/ijies2022.0831.55</t>
  </si>
  <si>
    <t xml:space="preserve">R0897</t>
  </si>
  <si>
    <t xml:space="preserve">Architecture and Implementation of Industrial Internet of Things (IIoT) Gateway</t>
  </si>
  <si>
    <t xml:space="preserve">10.1109/ICCASIT50869.2020.9368773</t>
  </si>
  <si>
    <t xml:space="preserve">R0898</t>
  </si>
  <si>
    <t xml:space="preserve">An Optimal Relay Number Selection Algorithm for Balancing Multiple Performance in Flying Ad Hoc Networks</t>
  </si>
  <si>
    <t xml:space="preserve">10.1109/ACCESS.2020.3044502</t>
  </si>
  <si>
    <t xml:space="preserve">R0899</t>
  </si>
  <si>
    <t xml:space="preserve">A Tutorial and Review on Flight Control Co-Simulation Using Matlab/Simulink and Flight Simulators</t>
  </si>
  <si>
    <t xml:space="preserve">10.3390/automation3030025</t>
  </si>
  <si>
    <t xml:space="preserve">R0900</t>
  </si>
  <si>
    <t xml:space="preserve">Collision Avoidance Strategies for Cooperative Unmanned Aircraft Systems using Vehicle-to-Vehicle Communications</t>
  </si>
  <si>
    <t xml:space="preserve">10.1109/VTC2023-Spring57618.2023.10199913</t>
  </si>
  <si>
    <t xml:space="preserve">R0902</t>
  </si>
  <si>
    <t xml:space="preserve">Channel Modeling and Performance Analysis of Airplane-Satellite Terahertz Band Communications</t>
  </si>
  <si>
    <t xml:space="preserve">10.1109/TVT.2021.3058581</t>
  </si>
  <si>
    <t xml:space="preserve">R0903</t>
  </si>
  <si>
    <t xml:space="preserve">Analysis of ptn mobile return network architecture and network protection mode</t>
  </si>
  <si>
    <t xml:space="preserve">10.1109/ICCASIT48058.2019.8973168</t>
  </si>
  <si>
    <t xml:space="preserve">R0904</t>
  </si>
  <si>
    <t xml:space="preserve">L-DACS spectral efficiency</t>
  </si>
  <si>
    <t xml:space="preserve">10.1109/ICNSURV.2019.8735269</t>
  </si>
  <si>
    <t xml:space="preserve">R0905</t>
  </si>
  <si>
    <t xml:space="preserve">Stochastic Modeling of the Radiation Pattern of Airborne Antennas: Application to the Radar Altimeter</t>
  </si>
  <si>
    <t xml:space="preserve">10.1109/ICEAA57318.2023.10297647</t>
  </si>
  <si>
    <t xml:space="preserve">R0906</t>
  </si>
  <si>
    <t xml:space="preserve">An Architecture of System of Systems (SoS) for Commercial Flight Security in 5G OGCE</t>
  </si>
  <si>
    <t xml:space="preserve">10.1109/ICSAI.2018.8599363</t>
  </si>
  <si>
    <t xml:space="preserve">R0907</t>
  </si>
  <si>
    <t xml:space="preserve">Operational Evaluation of Digital Taxi Instruction</t>
  </si>
  <si>
    <t xml:space="preserve">10.1109/ICNS50378.2020.9222996</t>
  </si>
  <si>
    <t xml:space="preserve">R0910</t>
  </si>
  <si>
    <t xml:space="preserve">Innovative and Scientific ECO Environment: Integration of Teaching Information and Communication Technologies and Physics</t>
  </si>
  <si>
    <t xml:space="preserve">10.1007/978-3-030-93907-6_4</t>
  </si>
  <si>
    <t xml:space="preserve">R0911</t>
  </si>
  <si>
    <t xml:space="preserve">Aviation Safety: An Initial Exploration of the Feasibility of Using Language Engineering Technologies for Reducing Pilot-Air Traffic Control Miscommunications</t>
  </si>
  <si>
    <t xml:space="preserve">10.54941/ahfe100608</t>
  </si>
  <si>
    <t xml:space="preserve">R0912</t>
  </si>
  <si>
    <t xml:space="preserve">Optimization Design and Application of Positioning Search Technology Based on Satellite Navigation System</t>
  </si>
  <si>
    <t xml:space="preserve">10.1109/ICCT56141.2022.10073298</t>
  </si>
  <si>
    <t xml:space="preserve">R0913</t>
  </si>
  <si>
    <t xml:space="preserve">An Approach to Data Recovery from Solid State Drive: Cyber Forensics</t>
  </si>
  <si>
    <t xml:space="preserve">10.1201/9781003369479-9</t>
  </si>
  <si>
    <t xml:space="preserve">R0915</t>
  </si>
  <si>
    <t xml:space="preserve">Power Consumption Analysis of NB-IoT Technology for Low-Power Aircraft Applications</t>
  </si>
  <si>
    <t xml:space="preserve">10.1109/WF-IoT.2019.8767234</t>
  </si>
  <si>
    <t xml:space="preserve">R0916</t>
  </si>
  <si>
    <t xml:space="preserve">Efficiency improvement of instrumental reading identification from recording images</t>
  </si>
  <si>
    <t xml:space="preserve">10.2514/6.2019-3445</t>
  </si>
  <si>
    <t xml:space="preserve">R0918</t>
  </si>
  <si>
    <t xml:space="preserve">Design of a Ping-Pong Game Machine Based on VHDL Language</t>
  </si>
  <si>
    <t xml:space="preserve">10.1109/ICSECE58870.2023.10263535</t>
  </si>
  <si>
    <t xml:space="preserve">R0919</t>
  </si>
  <si>
    <t xml:space="preserve">The framework of software defined avionics network for multi-platforms</t>
  </si>
  <si>
    <t xml:space="preserve">10.1109/CISCE.2019.00085</t>
  </si>
  <si>
    <t xml:space="preserve">R0921</t>
  </si>
  <si>
    <t xml:space="preserve">Research on Electromagnetic Compatibility Analysis of TETRA Digital Trunk System in Civil Aviation Mobile Communication</t>
  </si>
  <si>
    <t xml:space="preserve">10.1109/CCET48361.2019.8989074</t>
  </si>
  <si>
    <t xml:space="preserve">R0922</t>
  </si>
  <si>
    <t xml:space="preserve">A Preliminary Study and Implementing Algorithm Using Finite State Automaton for Remote Identification of Drones</t>
  </si>
  <si>
    <t xml:space="preserve">10.3390/app13042345</t>
  </si>
  <si>
    <t xml:space="preserve">R0923</t>
  </si>
  <si>
    <t xml:space="preserve">LSTM Based Lip Reading Approach for Devanagiri Script</t>
  </si>
  <si>
    <t xml:space="preserve">10.14201/ADCAIJ2019831326</t>
  </si>
  <si>
    <t xml:space="preserve">R0924</t>
  </si>
  <si>
    <t xml:space="preserve">Multi-Attribute Task Battery configuration to effectively assess pilot performance deterioration during prolonged wakefulness</t>
  </si>
  <si>
    <t xml:space="preserve">10.1016/j.imu.2021.100822</t>
  </si>
  <si>
    <t xml:space="preserve">R0925</t>
  </si>
  <si>
    <t xml:space="preserve">Wireless intra-aircraft communication system</t>
  </si>
  <si>
    <t xml:space="preserve">10.1109/ICCCI48352.2020.9104098</t>
  </si>
  <si>
    <t xml:space="preserve">R0927</t>
  </si>
  <si>
    <t xml:space="preserve">Study of tropospheric slant delay retrieved from the IRNSS</t>
  </si>
  <si>
    <t xml:space="preserve">10.1117/12.2573690</t>
  </si>
  <si>
    <t xml:space="preserve">R0928</t>
  </si>
  <si>
    <t xml:space="preserve">Estimation of worldwide ship emissions using AIS signals</t>
  </si>
  <si>
    <t xml:space="preserve">10.23919/ENC48637.2020.9317402</t>
  </si>
  <si>
    <t xml:space="preserve">R0929</t>
  </si>
  <si>
    <t xml:space="preserve">Research and Development of General Coverage Analysis Model for Air Traffic Control Stations</t>
  </si>
  <si>
    <t xml:space="preserve">10.1109/ICCASIT50869.2020.9368867</t>
  </si>
  <si>
    <t xml:space="preserve">R0931</t>
  </si>
  <si>
    <t xml:space="preserve">A Soft-Decision Weighted CNN for Specific Emitter Identification in Aeronautical Monitoring System</t>
  </si>
  <si>
    <t xml:space="preserve">10.1145/3544109.3544315</t>
  </si>
  <si>
    <t xml:space="preserve">R0932</t>
  </si>
  <si>
    <t xml:space="preserve">Research on visual optimization design of machine-machine interface for mechanical industrial equipment based on nonlinear partial equations</t>
  </si>
  <si>
    <t xml:space="preserve">10.2478/amns.2021.2.00075</t>
  </si>
  <si>
    <t xml:space="preserve">R0933</t>
  </si>
  <si>
    <t xml:space="preserve">Diving safety alarm based on the techniques of machine learning</t>
  </si>
  <si>
    <t xml:space="preserve">10.1049/cmu2.12239</t>
  </si>
  <si>
    <t xml:space="preserve">R0934</t>
  </si>
  <si>
    <t xml:space="preserve">5G Aviation Networks Using Novel AI Approach for DDoS Detection</t>
  </si>
  <si>
    <t xml:space="preserve">10.1109/ACCESS.2023.3296311</t>
  </si>
  <si>
    <t xml:space="preserve">R0935</t>
  </si>
  <si>
    <t xml:space="preserve">A Robust MIMO Power Line Communication System</t>
  </si>
  <si>
    <t xml:space="preserve">10.1109/ICCASIT50869.2020.9368547</t>
  </si>
  <si>
    <t xml:space="preserve">R0936</t>
  </si>
  <si>
    <t xml:space="preserve">The design and implementation of civil aviation meteorological emergency service platform based on 5G</t>
  </si>
  <si>
    <t xml:space="preserve">10.1145/3569966.3571190</t>
  </si>
  <si>
    <t xml:space="preserve">R0937</t>
  </si>
  <si>
    <t xml:space="preserve">Prototype Hierarchical UAS Traffic Management System in Taiwan</t>
  </si>
  <si>
    <t xml:space="preserve">10.1109/ICNSURV.2019.8735380</t>
  </si>
  <si>
    <t xml:space="preserve">R0938</t>
  </si>
  <si>
    <t xml:space="preserve">Performance analysis of SBAS ephemeris corrections and integrity algorithms in China region</t>
  </si>
  <si>
    <t xml:space="preserve">10.1186/s43020-021-00045-z</t>
  </si>
  <si>
    <t xml:space="preserve">R0939</t>
  </si>
  <si>
    <t xml:space="preserve">Experimental FMECA-based assessing of the critical information infrastructure importance in aviation</t>
  </si>
  <si>
    <t xml:space="preserve">R0940</t>
  </si>
  <si>
    <t xml:space="preserve">LTE Mobile Network Technical Feasibility for Unmanned Aerial Vehicle BVLOS operations in a Rural Test Area</t>
  </si>
  <si>
    <t xml:space="preserve">R0941</t>
  </si>
  <si>
    <t xml:space="preserve">Bilinear Pairing and PUF Based Lightweight Authentication Protocol for IoD Environment</t>
  </si>
  <si>
    <t xml:space="preserve">10.1109/MASS56207.2022.00023</t>
  </si>
  <si>
    <t xml:space="preserve">R0942</t>
  </si>
  <si>
    <t xml:space="preserve">A Survey of Multi-Agent Cross Domain Cooperative Perception</t>
  </si>
  <si>
    <t xml:space="preserve">10.3390/electronics11071091</t>
  </si>
  <si>
    <t xml:space="preserve">R0943</t>
  </si>
  <si>
    <t xml:space="preserve">Performance Trade-Offs of an Optical Wireless Communication Network Deployed in an Aircraft Cockpit</t>
  </si>
  <si>
    <t xml:space="preserve">10.1109/OJCOMS.2020.3004631</t>
  </si>
  <si>
    <t xml:space="preserve">R0944</t>
  </si>
  <si>
    <t xml:space="preserve">Gaining Swarm Behavior through Establishing a Control System and Communication Network on Unmanned Aerial Vehicles</t>
  </si>
  <si>
    <t xml:space="preserve">10.1109/RAST57548.2023.10197953</t>
  </si>
  <si>
    <t xml:space="preserve">R0945</t>
  </si>
  <si>
    <t xml:space="preserve">Earth Observation Ground Station Systems of KMITL-ECSTAR Research Center</t>
  </si>
  <si>
    <t xml:space="preserve">10.1109/NextComp55567.2022.9932160</t>
  </si>
  <si>
    <t xml:space="preserve">R0946</t>
  </si>
  <si>
    <t xml:space="preserve">PROSPECTS FOR USING UNMANNED AERIAL VEHICLES FOR MEDICAL AND BIOLOGICAL PROTECTION OF THE CIVILIANS AND THE MILITARY IN THE SAFE ZONE AND THE JOINT FORCES OPERATION (JFO) AREA; [ПЕРСПЕКТИВИ ЗАСТОСУВАННЯ В МЕДИКО-БІОЛОГІЧНОМУ ЗАХИСТІ НАСЕЛЕННЯ І ВІЙСЬК БЕЗПІЛОТНИХ ЛІТАЛЬНИХ АПАРАТІВ В ЗОНАХ БЕЗПЕКИ ТА ОПЕРАЦІЇ ОБ'ЄДНАНИХ СИЛ]</t>
  </si>
  <si>
    <t xml:space="preserve">10.15407/scine18.05.049</t>
  </si>
  <si>
    <t xml:space="preserve">R0947</t>
  </si>
  <si>
    <t xml:space="preserve">Research on Telemetry Comparison System on Manned Spacecraft</t>
  </si>
  <si>
    <t xml:space="preserve">10.1145/3434581.3434599</t>
  </si>
  <si>
    <t xml:space="preserve">R0948</t>
  </si>
  <si>
    <t xml:space="preserve">Analysing Structural Deformation Monitoring of Flight Vehicles Based on Optical Fibre Sensing Technology</t>
  </si>
  <si>
    <t xml:space="preserve">10.1109/ICEDCS60513.2023.00101</t>
  </si>
  <si>
    <t xml:space="preserve">R0949</t>
  </si>
  <si>
    <t xml:space="preserve">Research on Semantic Verification Method of Control Instruction Based on Ensemble Learning</t>
  </si>
  <si>
    <t xml:space="preserve">10.1109/ICAIBD57115.2023.10206195</t>
  </si>
  <si>
    <t xml:space="preserve">R0950</t>
  </si>
  <si>
    <t xml:space="preserve">Evaluation of Lateral Safety Distance of between UAVs in Hybrid Operation Mode Based on CNS Performance</t>
  </si>
  <si>
    <t xml:space="preserve">10.1109/BDEE55929.2022.00026</t>
  </si>
  <si>
    <t xml:space="preserve">R0952</t>
  </si>
  <si>
    <t xml:space="preserve">Effects of installing scheme on the strain measurement accuracy of optical fiber sensors</t>
  </si>
  <si>
    <t xml:space="preserve">10.1117/12.2519564</t>
  </si>
  <si>
    <t xml:space="preserve">R0955</t>
  </si>
  <si>
    <t xml:space="preserve">A lightweight speech recognition method with target-swap knowledge distillation for Mandarin air traffic control communications</t>
  </si>
  <si>
    <t xml:space="preserve">10.7717/PEERJ-CS.1650</t>
  </si>
  <si>
    <t xml:space="preserve">R0956</t>
  </si>
  <si>
    <t xml:space="preserve">Cabin Operation and Management Model Based on VR Technology</t>
  </si>
  <si>
    <t xml:space="preserve">10.1109/ICMTMA52658.2021.00013</t>
  </si>
  <si>
    <t xml:space="preserve">R0957</t>
  </si>
  <si>
    <t xml:space="preserve">Satisficing Game Approach to Conflict Resolution for Cooperative Aircraft Sharing Airspace</t>
  </si>
  <si>
    <t xml:space="preserve">10.1089/big.2020.0155</t>
  </si>
  <si>
    <t xml:space="preserve">R0958</t>
  </si>
  <si>
    <t xml:space="preserve">Orthogonal Constant Modulus DFRC Waveform Design Under Weighted Integral Sidelobe Constraint</t>
  </si>
  <si>
    <t xml:space="preserve">10.1109/ICICSP59554.2023.10390844</t>
  </si>
  <si>
    <t xml:space="preserve">R0960</t>
  </si>
  <si>
    <t xml:space="preserve">Establishing new foundations for the use of remotely-piloted aircraft systems for civilian applications</t>
  </si>
  <si>
    <t xml:space="preserve">10.5194/isprs-archives-XLII-2-W13-197-2019</t>
  </si>
  <si>
    <t xml:space="preserve">R0961</t>
  </si>
  <si>
    <t xml:space="preserve">Design of multi-agent uav simulator to support the development of the marsnet communication protocol</t>
  </si>
  <si>
    <t xml:space="preserve">10.2514/6.2019-3114</t>
  </si>
  <si>
    <t xml:space="preserve">R0963</t>
  </si>
  <si>
    <t xml:space="preserve">Analytical Model Based Fault Diagnosis of Complex System: A Review</t>
  </si>
  <si>
    <t xml:space="preserve">10.1109/ICSMD53520.2021.9670860</t>
  </si>
  <si>
    <t xml:space="preserve">R0964</t>
  </si>
  <si>
    <t xml:space="preserve">Human Intelligent Machine Teaming in Single Pilot Operation: A Case Study</t>
  </si>
  <si>
    <t xml:space="preserve">10.1007/978-3-031-05457-0_27</t>
  </si>
  <si>
    <t xml:space="preserve">R0965</t>
  </si>
  <si>
    <t xml:space="preserve">Aerial cellular: What can cellular do for the UAVs with and without changes to present standards and regulations</t>
  </si>
  <si>
    <t xml:space="preserve">R0966</t>
  </si>
  <si>
    <t xml:space="preserve">Machine Learning to Support the Optimization of ATM-Grade Networks</t>
  </si>
  <si>
    <t xml:space="preserve">10.1109/ICNS54818.2022.9771516</t>
  </si>
  <si>
    <t xml:space="preserve">R0967</t>
  </si>
  <si>
    <t xml:space="preserve">Path Planning of a Networked Robot Using Camera Feedback to Minimize Computational Time</t>
  </si>
  <si>
    <t xml:space="preserve">10.1109/ISPCC48220.2019.8988372</t>
  </si>
  <si>
    <t xml:space="preserve">R0968</t>
  </si>
  <si>
    <t xml:space="preserve">Design, fabrication and testing of an aerostat system for last mile communication</t>
  </si>
  <si>
    <t xml:space="preserve">10.2514/6.2019-2979</t>
  </si>
  <si>
    <t xml:space="preserve">R0969</t>
  </si>
  <si>
    <t xml:space="preserve">Parallel and scalable processing of spatio-temporal RDF queries using Spark</t>
  </si>
  <si>
    <t xml:space="preserve">10.1007/s10707-019-00371-0</t>
  </si>
  <si>
    <t xml:space="preserve">R0970</t>
  </si>
  <si>
    <t xml:space="preserve">SBAS monitoring platform for ANSPs</t>
  </si>
  <si>
    <t xml:space="preserve">10.33012/2021.18128</t>
  </si>
  <si>
    <t xml:space="preserve">R0972</t>
  </si>
  <si>
    <t xml:space="preserve">Mobility Management Approach for Future Aviation Ipv6 Networks</t>
  </si>
  <si>
    <t xml:space="preserve">10.1109/ICNS50378.2020.9222917</t>
  </si>
  <si>
    <t xml:space="preserve">R0973</t>
  </si>
  <si>
    <t xml:space="preserve">Air-ground system wide information management to achieve safe flight operation</t>
  </si>
  <si>
    <t xml:space="preserve">10.1109/HASE.2019.00017</t>
  </si>
  <si>
    <t xml:space="preserve">R0974</t>
  </si>
  <si>
    <t xml:space="preserve">NLP-based approach for predicting HMI state sequences towards monitoring operator situational awareness</t>
  </si>
  <si>
    <t xml:space="preserve">10.3390/s20113228</t>
  </si>
  <si>
    <t xml:space="preserve">R0975</t>
  </si>
  <si>
    <t xml:space="preserve">Substantiation of model for air navigation equipment operation costs</t>
  </si>
  <si>
    <t xml:space="preserve">R0976</t>
  </si>
  <si>
    <t xml:space="preserve">Conceptual Development of Wireless Distributed Control System for a Micro Gas Turbine Engine</t>
  </si>
  <si>
    <t xml:space="preserve">10.1109/SISY60376.2023.10417739</t>
  </si>
  <si>
    <t xml:space="preserve">R0977</t>
  </si>
  <si>
    <t xml:space="preserve">Spectrum Regulation in the Airborne era: The Viewpoint of UAS-Based Services in 5G</t>
  </si>
  <si>
    <t xml:space="preserve">10.1109/DySPAN53946.2021.9677385</t>
  </si>
  <si>
    <t xml:space="preserve">R0978</t>
  </si>
  <si>
    <t xml:space="preserve">Simulation of Ordering Processes across different Supply Chain Tiers in the Aviation Industry</t>
  </si>
  <si>
    <t xml:space="preserve">10.1109/SysCon53536.2022.9773906</t>
  </si>
  <si>
    <t xml:space="preserve">R0979</t>
  </si>
  <si>
    <t xml:space="preserve">Solution Approaches from Industry for Flightline of the Future and Next Generation Test Systems</t>
  </si>
  <si>
    <t xml:space="preserve">10.1109/AUTOTESTCON47462.2022.9984798</t>
  </si>
  <si>
    <t xml:space="preserve">R0980</t>
  </si>
  <si>
    <t xml:space="preserve">Video Information Intelligent Perception Based on Zigbee in Intelligent Safety Supervision</t>
  </si>
  <si>
    <t xml:space="preserve">10.1145/3434581.3434722</t>
  </si>
  <si>
    <t xml:space="preserve">R0981</t>
  </si>
  <si>
    <t xml:space="preserve">Statistical mmWave channel modeling and characterization in indoor airport environments</t>
  </si>
  <si>
    <t xml:space="preserve">10.1109/ICCIT48885.2019.9038494</t>
  </si>
  <si>
    <t xml:space="preserve">R0982</t>
  </si>
  <si>
    <t xml:space="preserve">Handover Prediction for Aircraft Dual Connectivity Using Model Predictive Control</t>
  </si>
  <si>
    <t xml:space="preserve">10.1109/ACCESS.2021.3066554</t>
  </si>
  <si>
    <t xml:space="preserve">R0983</t>
  </si>
  <si>
    <t xml:space="preserve">A Robotic Platform for Aircraft Composite Structure Inspection Using Thermography</t>
  </si>
  <si>
    <t xml:space="preserve">10.3390/robotics11030062</t>
  </si>
  <si>
    <t xml:space="preserve">R0984</t>
  </si>
  <si>
    <t xml:space="preserve">DIGITAL TWIN OF THE QUALITY MANAGEMENT SYSTEM FOR ENVIRONMENTAL CONTROL OF THE NEAR-AIRDOM ENVIRONMENT</t>
  </si>
  <si>
    <t xml:space="preserve">R0985</t>
  </si>
  <si>
    <t xml:space="preserve">Design on intelligent medical platform for nursing and communication</t>
  </si>
  <si>
    <t xml:space="preserve">10.1109/ICCASIT48058.2019.8973121</t>
  </si>
  <si>
    <t xml:space="preserve">R0986</t>
  </si>
  <si>
    <t xml:space="preserve">Navigation and Trajectory Planning Techniques for Unmanned Aerial Vehicles Swarm</t>
  </si>
  <si>
    <t xml:space="preserve">10.1007/978-3-031-28715-2_12</t>
  </si>
  <si>
    <t xml:space="preserve">R0987</t>
  </si>
  <si>
    <t xml:space="preserve">Systematic Evaluation of Cybersecurity Risks in the Urban Air Mobility Operational Environment</t>
  </si>
  <si>
    <t xml:space="preserve">10.1109/ICNS54818.2022.9771507</t>
  </si>
  <si>
    <t xml:space="preserve">R0988</t>
  </si>
  <si>
    <t xml:space="preserve">A novel method of train positioning based on visible light communication</t>
  </si>
  <si>
    <t xml:space="preserve">10.1109/ICCASIT50869.2020.9368682</t>
  </si>
  <si>
    <t xml:space="preserve">R0989</t>
  </si>
  <si>
    <t xml:space="preserve">In-trail procedure for improved oceanic air traffic operations</t>
  </si>
  <si>
    <t xml:space="preserve">10.2514/6.2019-2829</t>
  </si>
  <si>
    <t xml:space="preserve">R0990</t>
  </si>
  <si>
    <t xml:space="preserve">An Ellipse Slotted Vivaldi Antenna for 5G Applications</t>
  </si>
  <si>
    <t xml:space="preserve">10.1007/978-981-16-5655-2_74</t>
  </si>
  <si>
    <t xml:space="preserve">R0991</t>
  </si>
  <si>
    <t xml:space="preserve">Data immutability and event management via blockchain in the Internet of things</t>
  </si>
  <si>
    <t xml:space="preserve">10.3906/elk-2103-105</t>
  </si>
  <si>
    <t xml:space="preserve">R0992</t>
  </si>
  <si>
    <t xml:space="preserve">Asterisk and radio over ip integration at voice communication system air traffic control</t>
  </si>
  <si>
    <t xml:space="preserve">10.1109/TSSA48701.2019.8985483</t>
  </si>
  <si>
    <t xml:space="preserve">R0993</t>
  </si>
  <si>
    <t xml:space="preserve">Multimodal System Design Integration Using Category Theory</t>
  </si>
  <si>
    <t xml:space="preserve">10.1109/SysCon53073.2023.10131062</t>
  </si>
  <si>
    <t xml:space="preserve">R0994</t>
  </si>
  <si>
    <t xml:space="preserve">High-precision real-time UAV target recognition based on improved YOLOv4</t>
  </si>
  <si>
    <t xml:space="preserve">10.1016/j.comcom.2023.04.019</t>
  </si>
  <si>
    <t xml:space="preserve">R0995</t>
  </si>
  <si>
    <t xml:space="preserve">Network Communications Evolution's Effects on Air Traffic Systems - Nuisance or National Risk</t>
  </si>
  <si>
    <t xml:space="preserve">10.1109/ICNS58246.2023.10124331</t>
  </si>
  <si>
    <t xml:space="preserve">R0996</t>
  </si>
  <si>
    <t xml:space="preserve">Design of host computer system for induction heating power supply based on LabVIEW</t>
  </si>
  <si>
    <t xml:space="preserve">10.1109/ICCASIT50869.2020.9368520</t>
  </si>
  <si>
    <t xml:space="preserve">R0997</t>
  </si>
  <si>
    <t xml:space="preserve">MODELING DISTRIBUTED SITUATION AWARENESS IN RESILIENCE-BASED DESIGN OF COMPLEX ENGINEERED SYSTEMS</t>
  </si>
  <si>
    <t xml:space="preserve">10.1115/DETC2023116689</t>
  </si>
  <si>
    <t xml:space="preserve">R0998</t>
  </si>
  <si>
    <t xml:space="preserve">Cooperative navigation for small uavs in gps-intermittent environments</t>
  </si>
  <si>
    <t xml:space="preserve">10.2514/6.2019-3515</t>
  </si>
  <si>
    <t xml:space="preserve">R0999</t>
  </si>
  <si>
    <t xml:space="preserve">Security Techniques in Unmanned Air Traffic Management System</t>
  </si>
  <si>
    <t xml:space="preserve">10.1109/ICSSIT55814.2023.10061115</t>
  </si>
  <si>
    <t xml:space="preserve">R1000</t>
  </si>
  <si>
    <t xml:space="preserve">Design and implementation of simulation software based on FC-AE-ASM protocol</t>
  </si>
  <si>
    <t xml:space="preserve">10.1109/ICSP58490.2023.10248826</t>
  </si>
  <si>
    <t xml:space="preserve">R1002</t>
  </si>
  <si>
    <t xml:space="preserve">Simulating electromagnetic field inside small aircraft from wireless camera equipment</t>
  </si>
  <si>
    <t xml:space="preserve">10.1109/LAPC.2012.6403040</t>
  </si>
  <si>
    <t xml:space="preserve">R1003</t>
  </si>
  <si>
    <t xml:space="preserve">DEWI-Wirelessly into the future</t>
  </si>
  <si>
    <t xml:space="preserve">10.1109/DSD.2015.114</t>
  </si>
  <si>
    <t xml:space="preserve">R1004</t>
  </si>
  <si>
    <t xml:space="preserve">Automated system for control and correction functional state of human</t>
  </si>
  <si>
    <t xml:space="preserve">10.1109/ICAICT.2011.6110919</t>
  </si>
  <si>
    <t xml:space="preserve">R1005</t>
  </si>
  <si>
    <t xml:space="preserve">The research of system wide information management based on SOA</t>
  </si>
  <si>
    <t xml:space="preserve">10.1109/ICSESS.2015.7339185</t>
  </si>
  <si>
    <t xml:space="preserve">R1006</t>
  </si>
  <si>
    <t xml:space="preserve">Utilization of directional antennas in flying ad HoC networks: Challenges and design guidelines</t>
  </si>
  <si>
    <t xml:space="preserve">10.1201/b19065</t>
  </si>
  <si>
    <t xml:space="preserve">R1007</t>
  </si>
  <si>
    <t xml:space="preserve">Critical transmission range for connectivity in aeronautical ad-hoc networks</t>
  </si>
  <si>
    <t xml:space="preserve">10.1109/WCICA.2012.6359230</t>
  </si>
  <si>
    <t xml:space="preserve">R1008</t>
  </si>
  <si>
    <t xml:space="preserve">Resource sharing in collaborative environments: Performance considerations</t>
  </si>
  <si>
    <t xml:space="preserve">10.1007/978-3-642-19934-9_18</t>
  </si>
  <si>
    <t xml:space="preserve">R1009</t>
  </si>
  <si>
    <t xml:space="preserve">Handling of UAV using aeronautical telecommunication devices</t>
  </si>
  <si>
    <t xml:space="preserve">10.1109/APUAVD.2015.7346592</t>
  </si>
  <si>
    <t xml:space="preserve">R1010</t>
  </si>
  <si>
    <t xml:space="preserve">Reflector localization for geometrical modeling the air-ground channel</t>
  </si>
  <si>
    <t xml:space="preserve">10.1109/TVT.2018.2849686</t>
  </si>
  <si>
    <t xml:space="preserve">R1011</t>
  </si>
  <si>
    <t xml:space="preserve">An information-theoretic framework for flow visualization</t>
  </si>
  <si>
    <t xml:space="preserve">10.1109/TVCG.2010.131</t>
  </si>
  <si>
    <t xml:space="preserve">R1012</t>
  </si>
  <si>
    <t xml:space="preserve">M-Tesla-Based Security Assessment in Wireless Sensor Network</t>
  </si>
  <si>
    <t xml:space="preserve">10.1016/j.procs.2018.05.030</t>
  </si>
  <si>
    <t xml:space="preserve">R1013</t>
  </si>
  <si>
    <t xml:space="preserve">Preparing for Airport Collaborative Decision Making (A-CDM) implementation: an evaluation and recommendations</t>
  </si>
  <si>
    <t xml:space="preserve">10.1007/s10111-014-0295-x</t>
  </si>
  <si>
    <t xml:space="preserve">R1014</t>
  </si>
  <si>
    <t xml:space="preserve">Technical approach to FF-ICE planning and global harmnization through IIH&amp;V</t>
  </si>
  <si>
    <t xml:space="preserve">10.1109/ICNSURV.2018.8384876</t>
  </si>
  <si>
    <t xml:space="preserve">R1015</t>
  </si>
  <si>
    <t xml:space="preserve">AAtS for general aviation</t>
  </si>
  <si>
    <t xml:space="preserve">R1016</t>
  </si>
  <si>
    <t xml:space="preserve">Theory and practice of advanced communication features in aviation</t>
  </si>
  <si>
    <t xml:space="preserve">10.1109/ICNSurv.2013.6548537</t>
  </si>
  <si>
    <t xml:space="preserve">R1017</t>
  </si>
  <si>
    <t xml:space="preserve">Performance evaluation of uncompressed high-definition content transmission on parallelled digital subscriber lines</t>
  </si>
  <si>
    <t xml:space="preserve">10.1007/978-3-642-24082-9_25</t>
  </si>
  <si>
    <t xml:space="preserve">R1018</t>
  </si>
  <si>
    <t xml:space="preserve">Human factor impact assessment of RPAS integration into non-segregated airspace: A first overview of the current RPAS integration challenges</t>
  </si>
  <si>
    <t xml:space="preserve">R1019</t>
  </si>
  <si>
    <t xml:space="preserve">Modeling and analysis of departure routine in air traffic control based on Petri nets</t>
  </si>
  <si>
    <t xml:space="preserve">10.1007/s00521-014-1590-4</t>
  </si>
  <si>
    <t xml:space="preserve">R1020</t>
  </si>
  <si>
    <t xml:space="preserve">A scheme for improving the communications efficiency between the control plane and data plane of the SDN-Enabled airborne tactical network</t>
  </si>
  <si>
    <t xml:space="preserve">10.1109/ACCESS.2018.2852707</t>
  </si>
  <si>
    <t xml:space="preserve">R1021</t>
  </si>
  <si>
    <t xml:space="preserve">ATN ground to ground applications to provide air traffic services in Colombia</t>
  </si>
  <si>
    <t xml:space="preserve">10.1109/ICNSurv.2013.6548560</t>
  </si>
  <si>
    <t xml:space="preserve">R1023</t>
  </si>
  <si>
    <t xml:space="preserve">A traffic information service-broadcast model for mixed-equipage aircraft simulation</t>
  </si>
  <si>
    <t xml:space="preserve">10.1109/ICNSURV.2010.5503264</t>
  </si>
  <si>
    <t xml:space="preserve">R1024</t>
  </si>
  <si>
    <t xml:space="preserve">Analysis of CANaerospace protocol communication quality in aviation system</t>
  </si>
  <si>
    <t xml:space="preserve">10.4316/AECE.2014.01013</t>
  </si>
  <si>
    <t xml:space="preserve">R1025</t>
  </si>
  <si>
    <t xml:space="preserve">Effects of pulsed RF disturbances on aeronautical communication systems</t>
  </si>
  <si>
    <t xml:space="preserve">R1026</t>
  </si>
  <si>
    <t xml:space="preserve">Effectiveness of redundancy in communication network of air traffic management system</t>
  </si>
  <si>
    <t xml:space="preserve">10.1007/978-3-319-39639-2_22</t>
  </si>
  <si>
    <t xml:space="preserve">R1027</t>
  </si>
  <si>
    <t xml:space="preserve">Geostationary satellite reference station multipath characterization: Using galaxy 15 failure to refine the WAAS multipath threat</t>
  </si>
  <si>
    <t xml:space="preserve">R1028</t>
  </si>
  <si>
    <t xml:space="preserve">Compatibility analysis of Wireless Avionics Intra Communications (WAIC) to radio altimeter at 4200-4400 MHz</t>
  </si>
  <si>
    <t xml:space="preserve">10.1109/APWiMob.2014.6920265</t>
  </si>
  <si>
    <t xml:space="preserve">R1029</t>
  </si>
  <si>
    <t xml:space="preserve">A hands-on modular laboratory environment to foster learning in control system security</t>
  </si>
  <si>
    <t xml:space="preserve">10.1109/FIE.2016.7757669</t>
  </si>
  <si>
    <t xml:space="preserve">R1030</t>
  </si>
  <si>
    <t xml:space="preserve">Economic impacts of the alternative reuse of empty ISO containers</t>
  </si>
  <si>
    <t xml:space="preserve">10.1007/978-3-642-24264-9_11</t>
  </si>
  <si>
    <t xml:space="preserve">R1031</t>
  </si>
  <si>
    <t xml:space="preserve">A Method of Evaluating Air Traffic Controller Time Workload</t>
  </si>
  <si>
    <t xml:space="preserve">10.1007/978-3-030-27547-1_26</t>
  </si>
  <si>
    <t xml:space="preserve">R1032</t>
  </si>
  <si>
    <t xml:space="preserve">Simulating reliable real-time data distribution for UAV-aided tactical networks</t>
  </si>
  <si>
    <t xml:space="preserve">10.1109/CISIS.2011.110</t>
  </si>
  <si>
    <t xml:space="preserve">R1033</t>
  </si>
  <si>
    <t xml:space="preserve">Dynamic redundancy in communication network of air traffic management system</t>
  </si>
  <si>
    <t xml:space="preserve">10.1007/978-3-319-59415-6_17</t>
  </si>
  <si>
    <t xml:space="preserve">R1034</t>
  </si>
  <si>
    <t xml:space="preserve">Wireless controller area network using token frame scheme</t>
  </si>
  <si>
    <t xml:space="preserve">10.1007/978-3-642-25462-8_49</t>
  </si>
  <si>
    <t xml:space="preserve">R1035</t>
  </si>
  <si>
    <t xml:space="preserve">BDS application on unmanned aerial vehicle air traffic management</t>
  </si>
  <si>
    <t xml:space="preserve">R1036</t>
  </si>
  <si>
    <t xml:space="preserve">A cooperative trajectory generation framework for cluttered environments</t>
  </si>
  <si>
    <t xml:space="preserve">10.2514/6.2019-3254</t>
  </si>
  <si>
    <t xml:space="preserve">R1037</t>
  </si>
  <si>
    <t xml:space="preserve">The role of cost and benefit techniques in developing supply chain management models in the transportation system (analytical and practical study at baghdad international airport)</t>
  </si>
  <si>
    <t xml:space="preserve">R1038</t>
  </si>
  <si>
    <t xml:space="preserve">Internet Protocol for aeronautical communications</t>
  </si>
  <si>
    <t xml:space="preserve">10.1109/ICIT.2013.6505863</t>
  </si>
  <si>
    <t xml:space="preserve">R1039</t>
  </si>
  <si>
    <t xml:space="preserve">Toward a multi-method approach to formalizing human-automation interaction and human-human communications</t>
  </si>
  <si>
    <t xml:space="preserve">10.1109/ICSMC.2011.6083935</t>
  </si>
  <si>
    <t xml:space="preserve">R1041</t>
  </si>
  <si>
    <t xml:space="preserve">Technology surveys and regulatory gap analyses of uas subsystems toward access to the nas</t>
  </si>
  <si>
    <t xml:space="preserve">10.1007/978-90-481-9707-1_62</t>
  </si>
  <si>
    <t xml:space="preserve">R1042</t>
  </si>
  <si>
    <t xml:space="preserve">Initial 4D trajectory management concept evaluation</t>
  </si>
  <si>
    <t xml:space="preserve">R1044</t>
  </si>
  <si>
    <t xml:space="preserve">Aircraft access to system-wide information management infrastructure</t>
  </si>
  <si>
    <t xml:space="preserve">R1045</t>
  </si>
  <si>
    <t xml:space="preserve">Empirical exploration of air traffic and human dynamics in terminal airspaces</t>
  </si>
  <si>
    <t xml:space="preserve">10.1016/j.trc.2017.08.007</t>
  </si>
  <si>
    <t xml:space="preserve">R1046</t>
  </si>
  <si>
    <t xml:space="preserve">Resilient communication network of Air Traffic Management system</t>
  </si>
  <si>
    <t xml:space="preserve">10.1109/RTUWO.2016.7821875</t>
  </si>
  <si>
    <t xml:space="preserve">R1047</t>
  </si>
  <si>
    <t xml:space="preserve">Role of optimum satellite-receiver geometry in the accuracy of GPS Navigation solution-an investigation</t>
  </si>
  <si>
    <t xml:space="preserve">10.1109/ICCSP.2015.7322693</t>
  </si>
  <si>
    <t xml:space="preserve">R1048</t>
  </si>
  <si>
    <t xml:space="preserve">Design of circular micro strip patch antenna on different resonant frequencies for 5 G wirelesses communication using matlab</t>
  </si>
  <si>
    <t xml:space="preserve">R1049</t>
  </si>
  <si>
    <t xml:space="preserve">Robust estimation of the offset between UTC and SBAS Network Time</t>
  </si>
  <si>
    <t xml:space="preserve">R1050</t>
  </si>
  <si>
    <t xml:space="preserve">A Solution to the Problem of Assessing Aviation Safety by Simulation Modeling</t>
  </si>
  <si>
    <t xml:space="preserve">10.1134/S1064230718060126</t>
  </si>
  <si>
    <t xml:space="preserve">R1051</t>
  </si>
  <si>
    <t xml:space="preserve">Application status and development trend of virtual manufacturing</t>
  </si>
  <si>
    <t xml:space="preserve">10.1109/CSSS.2011.5974681</t>
  </si>
  <si>
    <t xml:space="preserve">R1052</t>
  </si>
  <si>
    <t xml:space="preserve">Dynamic Reconfiguration of Architecture in the Communication Network of Air Traffic Management System</t>
  </si>
  <si>
    <t xml:space="preserve">10.1109/CIT.2017.13</t>
  </si>
  <si>
    <t xml:space="preserve">R1053</t>
  </si>
  <si>
    <t xml:space="preserve">MedALE RTS campaign: Data analysis and reporting</t>
  </si>
  <si>
    <t xml:space="preserve">10.1007/978-3-319-22383-4_8</t>
  </si>
  <si>
    <t xml:space="preserve">R1054</t>
  </si>
  <si>
    <t xml:space="preserve">Iterative learning of speech recognition models for air traffic control</t>
  </si>
  <si>
    <t xml:space="preserve">10.21437/Interspeech.2018-1447</t>
  </si>
  <si>
    <t xml:space="preserve">R1055</t>
  </si>
  <si>
    <t xml:space="preserve">Performance based network concept for advanced air traffic services</t>
  </si>
  <si>
    <t xml:space="preserve">10.1109/ICNSURV.2016.7486371</t>
  </si>
  <si>
    <t xml:space="preserve">R1056</t>
  </si>
  <si>
    <t xml:space="preserve">The ionospheric delay correction methods in SBAS of BeiDou</t>
  </si>
  <si>
    <t xml:space="preserve">R1057</t>
  </si>
  <si>
    <t xml:space="preserve">Pilot-ATC Communication Conflicts: Implications for NextGen</t>
  </si>
  <si>
    <t xml:space="preserve">10.1080/10508414.2013.799350</t>
  </si>
  <si>
    <t xml:space="preserve">R1058</t>
  </si>
  <si>
    <t xml:space="preserve">SBAS-Africa: A cost effective Southern African solution serving multiple market sectors</t>
  </si>
  <si>
    <t xml:space="preserve">10.33012/2016.14555</t>
  </si>
  <si>
    <t xml:space="preserve">R1059</t>
  </si>
  <si>
    <t xml:space="preserve">IoT and service oriented infrastructures for flight 4.0</t>
  </si>
  <si>
    <t xml:space="preserve">10.1007/978-3-319-75058-3_4</t>
  </si>
  <si>
    <t xml:space="preserve">R1060</t>
  </si>
  <si>
    <t xml:space="preserve">GNSS TRENDS AND DOWNSTREAM MARKET IN 2019</t>
  </si>
  <si>
    <t xml:space="preserve">R1061</t>
  </si>
  <si>
    <t xml:space="preserve">Mitre data communication laboratory initiative for Departure Clearance (DCL)</t>
  </si>
  <si>
    <t xml:space="preserve">10.1109/ICNSurv.2013.6548551</t>
  </si>
  <si>
    <t xml:space="preserve">R1062</t>
  </si>
  <si>
    <t xml:space="preserve">Neurologically inspired computational cognitive modelling of situation awareness</t>
  </si>
  <si>
    <t xml:space="preserve">10.1007/978-3-319-09891-3_42</t>
  </si>
  <si>
    <t xml:space="preserve">R1063</t>
  </si>
  <si>
    <t xml:space="preserve">The design and implementation of general aviation surveillance system based on Beidou</t>
  </si>
  <si>
    <t xml:space="preserve">10.5013/IJSSST.a.17.11.08</t>
  </si>
  <si>
    <t xml:space="preserve">R1064</t>
  </si>
  <si>
    <t xml:space="preserve">System specifications for developing an Automatic Dependent Surveillance-Broadcast (ADS-B) monitoring system</t>
  </si>
  <si>
    <t xml:space="preserve">10.1016/j.ijcip.2016.06.004</t>
  </si>
  <si>
    <t xml:space="preserve">R1065</t>
  </si>
  <si>
    <t xml:space="preserve">The architecture of airborne datalink system in distributed integrated modular avionics</t>
  </si>
  <si>
    <t xml:space="preserve">10.1109/ICNSURV.2016.7486336</t>
  </si>
  <si>
    <t xml:space="preserve">R1067</t>
  </si>
  <si>
    <t xml:space="preserve">Structural health monitoring for aircraft, ground transportation vehicles, wind turbines and pipes-prognosis</t>
  </si>
  <si>
    <t xml:space="preserve">10.1201/b11837-5</t>
  </si>
  <si>
    <t xml:space="preserve">R1069</t>
  </si>
  <si>
    <t xml:space="preserve">An Integrated Modeling Framework for Exploring Network Reconfiguration of Distributed Controlled Homogenous Power Inverter Network using Composite Lyapunov Function Based Reachability Bound</t>
  </si>
  <si>
    <t xml:space="preserve">10.1177/0037549709346831</t>
  </si>
  <si>
    <t xml:space="preserve">R1070</t>
  </si>
  <si>
    <t xml:space="preserve">Satellite communication requirements for 4D air traffic management</t>
  </si>
  <si>
    <t xml:space="preserve">10.1109/ICNSurv.2013.6548511</t>
  </si>
  <si>
    <t xml:space="preserve">R1071</t>
  </si>
  <si>
    <t xml:space="preserve">Improving student relatedness through an online discussion intervention: The application of self-determination theory in synchronous hybrid programs</t>
  </si>
  <si>
    <t xml:space="preserve">10.1016/j.compedu.2017.06.006</t>
  </si>
  <si>
    <t xml:space="preserve">R1072</t>
  </si>
  <si>
    <t xml:space="preserve">Observing fast mesoscale atmospheric processes with a geostationary microwave sounder</t>
  </si>
  <si>
    <t xml:space="preserve">10.1117/12.2324048</t>
  </si>
  <si>
    <t xml:space="preserve">R1073</t>
  </si>
  <si>
    <t xml:space="preserve">Dual band microstrip caution patch antenna for space applications</t>
  </si>
  <si>
    <t xml:space="preserve">10.1109/ICCCSP.2017.7944077</t>
  </si>
  <si>
    <t xml:space="preserve">R1075</t>
  </si>
  <si>
    <t xml:space="preserve">Distributed anomaly detection using 1-class SVM for vertically partitioned data</t>
  </si>
  <si>
    <t xml:space="preserve">10.1002/sam.10125</t>
  </si>
  <si>
    <t xml:space="preserve">R1076</t>
  </si>
  <si>
    <t xml:space="preserve">From dispatch to air traffic control operations - Innovation in wind data uplink</t>
  </si>
  <si>
    <t xml:space="preserve">10.1109/ICNSURV.2015.7121268</t>
  </si>
  <si>
    <t xml:space="preserve">R1078</t>
  </si>
  <si>
    <t xml:space="preserve">Industrial big data visualization: A case study using flight data recordings to discover the factors affecting the airplane fuel efficiency</t>
  </si>
  <si>
    <t xml:space="preserve">10.1109/Trustcom/BigDataSE/ICESS.2017.322</t>
  </si>
  <si>
    <t xml:space="preserve">R1079</t>
  </si>
  <si>
    <t xml:space="preserve">Anticipatory runway incursion prevention systems</t>
  </si>
  <si>
    <t xml:space="preserve">10.1587/transinf.E96.D.2385</t>
  </si>
  <si>
    <t xml:space="preserve">R1080</t>
  </si>
  <si>
    <t xml:space="preserve">A generic method for protection level evaluation under the assumption of two simultaneous faulty measurements</t>
  </si>
  <si>
    <t xml:space="preserve">R1081</t>
  </si>
  <si>
    <t xml:space="preserve">Blue guardian: An open architecture for rapid ISR demonstration</t>
  </si>
  <si>
    <t xml:space="preserve">10.1117/12.2229365</t>
  </si>
  <si>
    <t xml:space="preserve">R1082</t>
  </si>
  <si>
    <t xml:space="preserve">GAST C and GAST D performance analysis based on BeiDou navigation satellite system</t>
  </si>
  <si>
    <t xml:space="preserve">R1083</t>
  </si>
  <si>
    <t xml:space="preserve">Voice communication benefits from RNAV/RNP in en route and terminal environments</t>
  </si>
  <si>
    <t xml:space="preserve">10.1109/ICNSurv.2013.6548545</t>
  </si>
  <si>
    <t xml:space="preserve">R1084</t>
  </si>
  <si>
    <t xml:space="preserve">A novel fast handoff scheme in aeronautical passenger communication based on air traffic management information and handoff probability</t>
  </si>
  <si>
    <t xml:space="preserve">10.4156/ijact.vol4.issue14.46</t>
  </si>
  <si>
    <t xml:space="preserve">R1085</t>
  </si>
  <si>
    <t xml:space="preserve">Turbo codification techniques for error control in a communication channel</t>
  </si>
  <si>
    <t xml:space="preserve">10.1007/978-3-642-16761-4_20</t>
  </si>
  <si>
    <t xml:space="preserve">R1086</t>
  </si>
  <si>
    <t xml:space="preserve">A hybrid model for learning from failures</t>
  </si>
  <si>
    <t xml:space="preserve">10.1016/j.eswa.2017.10.031</t>
  </si>
  <si>
    <t xml:space="preserve">R1088</t>
  </si>
  <si>
    <t xml:space="preserve">Conceptual infrastructure for global airspace management and control</t>
  </si>
  <si>
    <t xml:space="preserve">10.1109/ICNSURV.2018.8384975</t>
  </si>
  <si>
    <t xml:space="preserve">R1089</t>
  </si>
  <si>
    <t xml:space="preserve">Fiber-optic communication - An overview</t>
  </si>
  <si>
    <t xml:space="preserve">10.1109/crmico.2010.5632426</t>
  </si>
  <si>
    <t xml:space="preserve">R1090</t>
  </si>
  <si>
    <t xml:space="preserve">Avionics systems, integration, and technologies of light transport aircraft</t>
  </si>
  <si>
    <t xml:space="preserve">10.14429/dsj.61.1090</t>
  </si>
  <si>
    <t xml:space="preserve">R1091</t>
  </si>
  <si>
    <t xml:space="preserve">Research on collaborative strategic air traffic flow management based on BDI agent</t>
  </si>
  <si>
    <t xml:space="preserve">10.1109/ICESS.2016.14</t>
  </si>
  <si>
    <t xml:space="preserve">R1092</t>
  </si>
  <si>
    <t xml:space="preserve">Aerospace-academia: ERP-communication framework strategy</t>
  </si>
  <si>
    <t xml:space="preserve">R1093</t>
  </si>
  <si>
    <t xml:space="preserve">A component-based approach to hardware-in-the-loop simulation of radio designing</t>
  </si>
  <si>
    <t xml:space="preserve">10.1109/ICCT.2011.6157881</t>
  </si>
  <si>
    <t xml:space="preserve">R1094</t>
  </si>
  <si>
    <t xml:space="preserve">Low cost amateur rotators for student's satellites and high altitude balloons application</t>
  </si>
  <si>
    <t xml:space="preserve">10.1117/12.2000189</t>
  </si>
  <si>
    <t xml:space="preserve">R1095</t>
  </si>
  <si>
    <t xml:space="preserve">Asynchronous and multithreaded communications on irregular applications using vectorized divide and conquer approach</t>
  </si>
  <si>
    <t xml:space="preserve">10.1016/j.jpdc.2017.12.004</t>
  </si>
  <si>
    <t xml:space="preserve">R1096</t>
  </si>
  <si>
    <t xml:space="preserve">Dual use CNS boosts civil-military interoperability</t>
  </si>
  <si>
    <t xml:space="preserve">10.1109/ICNSURV.2018.8384900</t>
  </si>
  <si>
    <t xml:space="preserve">R1097</t>
  </si>
  <si>
    <t xml:space="preserve">Application of wireless direction-finding communication in target searching</t>
  </si>
  <si>
    <t xml:space="preserve">10.1109/wicom.2011.6040616</t>
  </si>
  <si>
    <t xml:space="preserve">R1098</t>
  </si>
  <si>
    <t xml:space="preserve">Assessing spectrum compatibility for beyond-line-of-sight UAS control and non-payload communications</t>
  </si>
  <si>
    <t xml:space="preserve">10.1109/ICNSurv.2014.6819997</t>
  </si>
  <si>
    <t xml:space="preserve">R1099</t>
  </si>
  <si>
    <t xml:space="preserve">Space-based nonlinear dynamic inversion control for aircraft continuous descent approach</t>
  </si>
  <si>
    <t xml:space="preserve">10.1109/EAIS.2012.6232823</t>
  </si>
  <si>
    <t xml:space="preserve">R1100</t>
  </si>
  <si>
    <t xml:space="preserve">Integration and coupling in the future aviation system</t>
  </si>
  <si>
    <t xml:space="preserve">10.1201/9781315137995</t>
  </si>
  <si>
    <t xml:space="preserve">R1101</t>
  </si>
  <si>
    <t xml:space="preserve">A practical use case modeling approach to specify crosscutting concerns</t>
  </si>
  <si>
    <t xml:space="preserve">10.1007/978-3-319-35122-3_7</t>
  </si>
  <si>
    <t xml:space="preserve">R1102</t>
  </si>
  <si>
    <t xml:space="preserve">Connectivity modeling analysis in flight-path based aviation ad hoc networks</t>
  </si>
  <si>
    <t xml:space="preserve">10.1587/transcom.E94.B.1606</t>
  </si>
  <si>
    <t xml:space="preserve">R1103</t>
  </si>
  <si>
    <t xml:space="preserve">An e-hospital security architecture</t>
  </si>
  <si>
    <t xml:space="preserve">10.1007/978-3-642-11723-7_43</t>
  </si>
  <si>
    <t xml:space="preserve">R1104</t>
  </si>
  <si>
    <t xml:space="preserve">ADS-B based real-time air traffic monitoring system</t>
  </si>
  <si>
    <t xml:space="preserve">10.1109/TSP.2015.7296255</t>
  </si>
  <si>
    <t xml:space="preserve">R1105</t>
  </si>
  <si>
    <t xml:space="preserve">Development of an Interactive System to Enhance Strategic Planning Process and Quality of Aviation Operations Using Balanced Scorecard: A UAE Case study</t>
  </si>
  <si>
    <t xml:space="preserve">10.1109/DeSE.2017.15</t>
  </si>
  <si>
    <t xml:space="preserve">R1107</t>
  </si>
  <si>
    <t xml:space="preserve">Combined use of Doppler observation and DTOA measurement of 1090-MHz ADS-B signals for wide area multilateration</t>
  </si>
  <si>
    <t xml:space="preserve">R1108</t>
  </si>
  <si>
    <t xml:space="preserve">Calibration and element failure correction of an intra-flight antenna at K-band</t>
  </si>
  <si>
    <t xml:space="preserve">10.1109/APS.2010.5562249</t>
  </si>
  <si>
    <t xml:space="preserve">R1109</t>
  </si>
  <si>
    <t xml:space="preserve">Data connectivity in flights using visible light communication</t>
  </si>
  <si>
    <t xml:space="preserve">10.1109/IC3TSN.2017.8284453</t>
  </si>
  <si>
    <t xml:space="preserve">R1110</t>
  </si>
  <si>
    <t xml:space="preserve">Demonstration of 2.5 Gbit/sec free space optical communication by using Y-00 cipher - Toward secure aviation systems</t>
  </si>
  <si>
    <t xml:space="preserve">10.1117/12.2060933</t>
  </si>
  <si>
    <t xml:space="preserve">R1111</t>
  </si>
  <si>
    <t xml:space="preserve">Terminal airspace sector capacity estimation method based on the ATC dynamical model</t>
  </si>
  <si>
    <t xml:space="preserve">10.1108/K-12-2014-0308</t>
  </si>
  <si>
    <t xml:space="preserve">R1112</t>
  </si>
  <si>
    <t xml:space="preserve">A low-cost GPS/INS integration methodology based on DGPM during GPS outages</t>
  </si>
  <si>
    <t xml:space="preserve">10.1109/ICNSURV.2018.8384891</t>
  </si>
  <si>
    <t xml:space="preserve">R1113</t>
  </si>
  <si>
    <t xml:space="preserve">Assuring software reliability while using web services and commercial products</t>
  </si>
  <si>
    <t xml:space="preserve">10.1007/978-3-642-21338-0_1</t>
  </si>
  <si>
    <t xml:space="preserve">R1115</t>
  </si>
  <si>
    <t xml:space="preserve">Conductive graphene nanoribbon (GNR) thin film as anti-icing /de-icing heater</t>
  </si>
  <si>
    <t xml:space="preserve">10.1109/MIKON.2014.6899900</t>
  </si>
  <si>
    <t xml:space="preserve">R1116</t>
  </si>
  <si>
    <t xml:space="preserve">The remote oceanic meteorology information operational demonstration</t>
  </si>
  <si>
    <t xml:space="preserve">10.1109/ICNSURV.2018.8384901</t>
  </si>
  <si>
    <t xml:space="preserve">R1117</t>
  </si>
  <si>
    <t xml:space="preserve">iPCM telemetry system</t>
  </si>
  <si>
    <t xml:space="preserve">R1118</t>
  </si>
  <si>
    <t xml:space="preserve">Integration of Unmanned Aircraft System (UAS) Voice Communications into the FAA National Airspace (NAS)</t>
  </si>
  <si>
    <t xml:space="preserve">10.1109/ICNSURV.2017.8011894</t>
  </si>
  <si>
    <t xml:space="preserve">R1119</t>
  </si>
  <si>
    <t xml:space="preserve">Experimental study of packet loss in a UWB sensor network for aircraft</t>
  </si>
  <si>
    <t xml:space="preserve">10.1145/3127540.3127549</t>
  </si>
  <si>
    <t xml:space="preserve">R1121</t>
  </si>
  <si>
    <t xml:space="preserve">Research on alternative positioning navigation and timing in Europe</t>
  </si>
  <si>
    <t xml:space="preserve">10.1109/ICNSURV.2018.8384887</t>
  </si>
  <si>
    <t xml:space="preserve">R1123</t>
  </si>
  <si>
    <t xml:space="preserve">Information management and ATM concepts of operation</t>
  </si>
  <si>
    <t xml:space="preserve">10.1109/ICNSURV.2017.8011962</t>
  </si>
  <si>
    <t xml:space="preserve">R1124</t>
  </si>
  <si>
    <t xml:space="preserve">Challenges and current state of implementation of an IP platform for Brazil's ATM communications</t>
  </si>
  <si>
    <t xml:space="preserve">10.1109/ICNSURV.2015.7121254</t>
  </si>
  <si>
    <t xml:space="preserve">R1125</t>
  </si>
  <si>
    <t xml:space="preserve">An integrated operations solution for gate-to-gate airline operations</t>
  </si>
  <si>
    <t xml:space="preserve">10.1109/ICNSURV.2011.5935348</t>
  </si>
  <si>
    <t xml:space="preserve">R1126</t>
  </si>
  <si>
    <t xml:space="preserve">Application of wireless networks and optical network to NextGen aircrafts</t>
  </si>
  <si>
    <t xml:space="preserve">10.1109/RAINS.2016.7764409</t>
  </si>
  <si>
    <t xml:space="preserve">R1127</t>
  </si>
  <si>
    <t xml:space="preserve">Statistical characterization of multipath propagation at edwards air force base (EAFB)</t>
  </si>
  <si>
    <t xml:space="preserve">R1128</t>
  </si>
  <si>
    <t xml:space="preserve">Low cost runway incursion detection system for general aviation airports</t>
  </si>
  <si>
    <t xml:space="preserve">10.1109/FIE.2010.5673192</t>
  </si>
  <si>
    <t xml:space="preserve">R1130</t>
  </si>
  <si>
    <t xml:space="preserve">Minimum variance control over a gaussian communication channel</t>
  </si>
  <si>
    <t xml:space="preserve">10.1109/TAC.2010.2097831</t>
  </si>
  <si>
    <t xml:space="preserve">R1131</t>
  </si>
  <si>
    <t xml:space="preserve">Automated detection of radiology reports that document non-routine communication of critical or significant results</t>
  </si>
  <si>
    <t xml:space="preserve">10.1007/s10278-009-9237-1</t>
  </si>
  <si>
    <t xml:space="preserve">R1132</t>
  </si>
  <si>
    <t xml:space="preserve">Space launch and reentry operations in the NAS information integration</t>
  </si>
  <si>
    <t xml:space="preserve">10.1109/ICNSURV.2016.7486391</t>
  </si>
  <si>
    <t xml:space="preserve">R1133</t>
  </si>
  <si>
    <t xml:space="preserve">Comparative analysis of tourist satisfaction and online booking services usage for incoming tourists in Zadar County</t>
  </si>
  <si>
    <t xml:space="preserve">10.1109/MIPRO.2014.6859811</t>
  </si>
  <si>
    <t xml:space="preserve">R1134</t>
  </si>
  <si>
    <t xml:space="preserve">Joint synchronization and channel estimation algorithm of FH-OFDM systems in aviation mobile communications</t>
  </si>
  <si>
    <t xml:space="preserve">10.1109/CIS.2011.165</t>
  </si>
  <si>
    <t xml:space="preserve">R1135</t>
  </si>
  <si>
    <t xml:space="preserve">Mixed-criticality systems: Design and certification challenges</t>
  </si>
  <si>
    <t xml:space="preserve">10.1109/CASES.2013.6662504</t>
  </si>
  <si>
    <t xml:space="preserve">R1136</t>
  </si>
  <si>
    <t xml:space="preserve">ARINC Specification 429 Mark 33 Digital Information Transfer System</t>
  </si>
  <si>
    <t xml:space="preserve">10.1201/b17365</t>
  </si>
  <si>
    <t xml:space="preserve">R1137</t>
  </si>
  <si>
    <t xml:space="preserve">Introducing data model standards for data comm information exchange over SWIM</t>
  </si>
  <si>
    <t xml:space="preserve">R1139</t>
  </si>
  <si>
    <t xml:space="preserve">Considerations for application of Laguerre-Gaussian beam wave in optical wireless communication</t>
  </si>
  <si>
    <t xml:space="preserve">10.1117/12.2062994</t>
  </si>
  <si>
    <t xml:space="preserve">R1140</t>
  </si>
  <si>
    <t xml:space="preserve">A portable compact channel sounder system without synchronization</t>
  </si>
  <si>
    <t xml:space="preserve">10.23919/EuCAP.2017.7928193</t>
  </si>
  <si>
    <t xml:space="preserve">R1141</t>
  </si>
  <si>
    <t xml:space="preserve">Resilience is not control: Healthcare, crisis management, and ICT</t>
  </si>
  <si>
    <t xml:space="preserve">10.1007/s10111-011-0174-7</t>
  </si>
  <si>
    <t xml:space="preserve">R1142</t>
  </si>
  <si>
    <t xml:space="preserve">Identifying decision patterns using Monterey Phoenix</t>
  </si>
  <si>
    <t xml:space="preserve">10.1109/SYSOSE.2017.7994952</t>
  </si>
  <si>
    <t xml:space="preserve">R1143</t>
  </si>
  <si>
    <t xml:space="preserve">Analysing of the voice communication channels for ground segment of air traffic management system based on embedded cloud technology</t>
  </si>
  <si>
    <t xml:space="preserve">10.1007/978-3-319-46254-7_52</t>
  </si>
  <si>
    <t xml:space="preserve">R1144</t>
  </si>
  <si>
    <t xml:space="preserve">Open Adaptable Architecture (OA2) for Agile Intelligence Surveillance Reconnaissance (ISR)</t>
  </si>
  <si>
    <t xml:space="preserve">10.1117/12.2518819</t>
  </si>
  <si>
    <t xml:space="preserve">R1145</t>
  </si>
  <si>
    <t xml:space="preserve">Paradoxes of professionalism and error in complex systems</t>
  </si>
  <si>
    <t xml:space="preserve">10.1016/j.jbi.2009.08.002</t>
  </si>
  <si>
    <t xml:space="preserve">R1146</t>
  </si>
  <si>
    <t xml:space="preserve">Deterministic capacity of information flow in molecular nanonetworks</t>
  </si>
  <si>
    <t xml:space="preserve">10.1016/j.nancom.2010.03.003</t>
  </si>
  <si>
    <t xml:space="preserve">R1147</t>
  </si>
  <si>
    <t xml:space="preserve">Strategic planning of efficient oceanic flights</t>
  </si>
  <si>
    <t xml:space="preserve">R1148</t>
  </si>
  <si>
    <t xml:space="preserve">Commercial Aviation Cyber Security: Current State and Essential Reading</t>
  </si>
  <si>
    <t xml:space="preserve">10.4271/pt-179</t>
  </si>
  <si>
    <t xml:space="preserve">R1149</t>
  </si>
  <si>
    <t xml:space="preserve">IP mobility in aeronautical communications</t>
  </si>
  <si>
    <t xml:space="preserve">10.1007/978-3-319-90371-2_2</t>
  </si>
  <si>
    <t xml:space="preserve">R1150</t>
  </si>
  <si>
    <t xml:space="preserve">A new movement recognition technique for flight mode detection</t>
  </si>
  <si>
    <t xml:space="preserve">10.1155/2013/149813</t>
  </si>
  <si>
    <t xml:space="preserve">R1151</t>
  </si>
  <si>
    <t xml:space="preserve">Automatic terminal information system for El Alto airport</t>
  </si>
  <si>
    <t xml:space="preserve">10.1109/TIME-E.2015.7389762</t>
  </si>
  <si>
    <t xml:space="preserve">R1152</t>
  </si>
  <si>
    <t xml:space="preserve">Investigation of a short-range underwater acoustic communication channel for MAC protocol design</t>
  </si>
  <si>
    <t xml:space="preserve">10.1109/ICSPCS.2010.5709665</t>
  </si>
  <si>
    <t xml:space="preserve">R1153</t>
  </si>
  <si>
    <t xml:space="preserve">System scheme design of aviation containerized supplies in transited yard</t>
  </si>
  <si>
    <t xml:space="preserve">10.1109/LISS.2015.7369761</t>
  </si>
  <si>
    <t xml:space="preserve">R1154</t>
  </si>
  <si>
    <t xml:space="preserve">Modulation performance in Wireless Avionics Intra Communications (WAIC)</t>
  </si>
  <si>
    <t xml:space="preserve">10.1109/ICITACEE.2014.7065786</t>
  </si>
  <si>
    <t xml:space="preserve">R1155</t>
  </si>
  <si>
    <t xml:space="preserve">Estimation of the Doppler spread and time delay spread for the wireless communication channel</t>
  </si>
  <si>
    <t xml:space="preserve">10.1109/ICCAIE.2010.5735119</t>
  </si>
  <si>
    <t xml:space="preserve">R1156</t>
  </si>
  <si>
    <t xml:space="preserve">Flight 4.0: The changing technology landscape of aeronautics</t>
  </si>
  <si>
    <t xml:space="preserve">10.1007/978-3-319-75058-3_1</t>
  </si>
  <si>
    <t xml:space="preserve">R1158</t>
  </si>
  <si>
    <t xml:space="preserve">Methodology and key performance indicators (KPIs) for railway on-board positioning systems</t>
  </si>
  <si>
    <t xml:space="preserve">10.1109/TITS.2018.2806187</t>
  </si>
  <si>
    <t xml:space="preserve">R1159</t>
  </si>
  <si>
    <t xml:space="preserve">Design and Verification of a High-Precision Wireless Strength Testing Node for Aircraft Structure</t>
  </si>
  <si>
    <t xml:space="preserve">10.1155/2016/9893435</t>
  </si>
  <si>
    <t xml:space="preserve">R1160</t>
  </si>
  <si>
    <t xml:space="preserve">Design and realization of test set for aviation communication system</t>
  </si>
  <si>
    <t xml:space="preserve">10.1109/MEC.2013.6885337</t>
  </si>
  <si>
    <t xml:space="preserve">R1161</t>
  </si>
  <si>
    <t xml:space="preserve">Construction of Air Traffic Controller’s Decision Network Using Error-Related Potential</t>
  </si>
  <si>
    <t xml:space="preserve">10.1007/978-3-030-22419-6_27</t>
  </si>
  <si>
    <t xml:space="preserve">R1162</t>
  </si>
  <si>
    <t xml:space="preserve">Specification of Railway transportation cyber physical systems using formal approach</t>
  </si>
  <si>
    <t xml:space="preserve">R1163</t>
  </si>
  <si>
    <t xml:space="preserve">A scheduling strategy for global scientific grids: Minimizing simultaneously time and energy consumption</t>
  </si>
  <si>
    <t xml:space="preserve">R1164</t>
  </si>
  <si>
    <t xml:space="preserve">Cost-efficient satellite constellation design by network reliability analysis</t>
  </si>
  <si>
    <t xml:space="preserve">10.1109/RAM.2018.8463029</t>
  </si>
  <si>
    <t xml:space="preserve">R1165</t>
  </si>
  <si>
    <t xml:space="preserve">5GHz ground-to-air communication link by AeroMACS in high-speed movement scenarios</t>
  </si>
  <si>
    <t xml:space="preserve">10.23919/APCC.2017.8304031</t>
  </si>
  <si>
    <t xml:space="preserve">R1166</t>
  </si>
  <si>
    <t xml:space="preserve">Weatherbin: Visually exploring similar days in air traffic weather</t>
  </si>
  <si>
    <t xml:space="preserve">10.2352/issn.2470-1173.2016.1.vda-485</t>
  </si>
  <si>
    <t xml:space="preserve">R1167</t>
  </si>
  <si>
    <t xml:space="preserve">A Domain Specific Language for aviation domain interoperability</t>
  </si>
  <si>
    <t xml:space="preserve">10.1109/ICNSurv.2012.6218443</t>
  </si>
  <si>
    <t xml:space="preserve">R1168</t>
  </si>
  <si>
    <t xml:space="preserve">Preliminary investigation of data communications usage for unmanned aircraft systems</t>
  </si>
  <si>
    <t xml:space="preserve">10.1109/ICNSURV.2015.7121262</t>
  </si>
  <si>
    <t xml:space="preserve">R1169</t>
  </si>
  <si>
    <t xml:space="preserve">Effect of the aeronautical L-DACS2 radio-frequency signals on the DME system performance</t>
  </si>
  <si>
    <t xml:space="preserve">10.1109/VETECF.2010.5594447</t>
  </si>
  <si>
    <t xml:space="preserve">R1170</t>
  </si>
  <si>
    <t xml:space="preserve">Development of human-machine interface system for flight monitoring using ADS-B data and openmap</t>
  </si>
  <si>
    <t xml:space="preserve">10.1109/SCIS-ISIS.2018.00091</t>
  </si>
  <si>
    <t xml:space="preserve">R1171</t>
  </si>
  <si>
    <t xml:space="preserve">Effect of ADS-B characteristics on airborne conflict detection and resolution</t>
  </si>
  <si>
    <t xml:space="preserve">R1172</t>
  </si>
  <si>
    <t xml:space="preserve">IRIS with IOC: The space based solution for air traffic management communications</t>
  </si>
  <si>
    <t xml:space="preserve">R1173</t>
  </si>
  <si>
    <t xml:space="preserve">Iris recognition: The consequences of image compression</t>
  </si>
  <si>
    <t xml:space="preserve">10.1155/2010/680845</t>
  </si>
  <si>
    <t xml:space="preserve">R1174</t>
  </si>
  <si>
    <t xml:space="preserve">Intelligent computing methods in Air Traffic Flow Management</t>
  </si>
  <si>
    <t xml:space="preserve">10.1016/j.trc.2009.06.004</t>
  </si>
  <si>
    <t xml:space="preserve">R1175</t>
  </si>
  <si>
    <t xml:space="preserve">TCAS solution for low altitude flights</t>
  </si>
  <si>
    <t xml:space="preserve">10.1109/ICNSURV.2010.5503240</t>
  </si>
  <si>
    <t xml:space="preserve">R1176</t>
  </si>
  <si>
    <t xml:space="preserve">A modified algorithm of Ricean Factor K estimation for L-DACS1 system</t>
  </si>
  <si>
    <t xml:space="preserve">10.1109/MAPE.2013.6689945</t>
  </si>
  <si>
    <t xml:space="preserve">R1177</t>
  </si>
  <si>
    <t xml:space="preserve">Simulation-Based Learning for Conveying Soft-Skills to XL-Classes</t>
  </si>
  <si>
    <t xml:space="preserve">10.1007/978-3-319-46916-4_49</t>
  </si>
  <si>
    <t xml:space="preserve">R1179</t>
  </si>
  <si>
    <t xml:space="preserve">The video and audio transmission system design and implementation for a helicopter by satellite-based communication channel</t>
  </si>
  <si>
    <t xml:space="preserve">10.1109/EMEIT.2011.6023980</t>
  </si>
  <si>
    <t xml:space="preserve">R1180</t>
  </si>
  <si>
    <t xml:space="preserve">Considerations for an integrated UAS CNS architecture</t>
  </si>
  <si>
    <t xml:space="preserve">10.1109/ICNSURV.2017.8011908</t>
  </si>
  <si>
    <t xml:space="preserve">R1181</t>
  </si>
  <si>
    <t xml:space="preserve">UAS situational awareness shortcomings, gaps, and future research needs</t>
  </si>
  <si>
    <t xml:space="preserve">10.1109/ICNSURV.2018.8384936</t>
  </si>
  <si>
    <t xml:space="preserve">R1182</t>
  </si>
  <si>
    <t xml:space="preserve">Analysis of transmission delay using communication protocol simulator in VHF datalink</t>
  </si>
  <si>
    <t xml:space="preserve">10.1109/ICNSurv.2014.6820010</t>
  </si>
  <si>
    <t xml:space="preserve">R1183</t>
  </si>
  <si>
    <t xml:space="preserve">Distributed information fusion with intermittent observations for large-scale sensor networks</t>
  </si>
  <si>
    <t xml:space="preserve">R1184</t>
  </si>
  <si>
    <t xml:space="preserve">Analyses and simulations for Aeronautical Mobile Airport Communications System</t>
  </si>
  <si>
    <t xml:space="preserve">10.1109/ICNSURV.2016.7486332</t>
  </si>
  <si>
    <t xml:space="preserve">R1185</t>
  </si>
  <si>
    <t xml:space="preserve">Two-way mobile authenticator</t>
  </si>
  <si>
    <t xml:space="preserve">R1186</t>
  </si>
  <si>
    <t xml:space="preserve">Performance analysis of advanced RAIM with the inclusion of BeiDou</t>
  </si>
  <si>
    <t xml:space="preserve">R1187</t>
  </si>
  <si>
    <t xml:space="preserve">Responsibilities of airport management in a crisis situation - Information flow</t>
  </si>
  <si>
    <t xml:space="preserve">10.1007/978-3-642-24660-9_34</t>
  </si>
  <si>
    <t xml:space="preserve">R1188</t>
  </si>
  <si>
    <t xml:space="preserve">Integrating real-time inter-task communication channels into hardware-software codesign</t>
  </si>
  <si>
    <t xml:space="preserve">10.1016/j.micpro.2010.04.002</t>
  </si>
  <si>
    <t xml:space="preserve">R1189</t>
  </si>
  <si>
    <t xml:space="preserve">Convergence approach to model physical world and cyber world of aviation cyber physical system</t>
  </si>
  <si>
    <t xml:space="preserve">10.1109/DASC.2014.81</t>
  </si>
  <si>
    <t xml:space="preserve">R1190</t>
  </si>
  <si>
    <t xml:space="preserve">Demands on reliable and robust wireless communications under land-sea-and-air extreme environments</t>
  </si>
  <si>
    <t xml:space="preserve">10.1587/transfun.E96.A.844</t>
  </si>
  <si>
    <t xml:space="preserve">R1191</t>
  </si>
  <si>
    <t xml:space="preserve">Integration of deep and shallow aircraft fault knowledge</t>
  </si>
  <si>
    <t xml:space="preserve">10.1109/ICCSN.2011.6014279</t>
  </si>
  <si>
    <t xml:space="preserve">R1193</t>
  </si>
  <si>
    <t xml:space="preserve">LDACS1-based non-cooperative surveillance</t>
  </si>
  <si>
    <t xml:space="preserve">10.1109/ICNSurv.2014.6820006</t>
  </si>
  <si>
    <t xml:space="preserve">R1195</t>
  </si>
  <si>
    <t xml:space="preserve">Evaluation of speech engines for ATC simulator</t>
  </si>
  <si>
    <t xml:space="preserve">10.1109/CCAA.2018.8777464</t>
  </si>
  <si>
    <t xml:space="preserve">R1196</t>
  </si>
  <si>
    <t xml:space="preserve">International Committee on GNSS</t>
  </si>
  <si>
    <t xml:space="preserve">10.1007/978-3-319-23386-4_12</t>
  </si>
  <si>
    <t xml:space="preserve">R1197</t>
  </si>
  <si>
    <t xml:space="preserve">A spoofing mitigation technique for dynamic applications</t>
  </si>
  <si>
    <t xml:space="preserve">10.1109/NAVITEC.2016.7849353</t>
  </si>
  <si>
    <t xml:space="preserve">R1198</t>
  </si>
  <si>
    <t xml:space="preserve">Challenges in measurement and control of green in data networking</t>
  </si>
  <si>
    <t xml:space="preserve">10.1109/ICSESS.2013.6615384</t>
  </si>
  <si>
    <t xml:space="preserve">R1199</t>
  </si>
  <si>
    <t xml:space="preserve">A neurologically inspired model of the dynamics of situation awareness under biased perception</t>
  </si>
  <si>
    <t xml:space="preserve">10.1007/978-3-319-19066-2_9</t>
  </si>
  <si>
    <t xml:space="preserve">R1200</t>
  </si>
  <si>
    <t xml:space="preserve">Optical communication: An overview</t>
  </si>
  <si>
    <t xml:space="preserve">10.4018/978-1-61350-426-0.ch013</t>
  </si>
  <si>
    <t xml:space="preserve">R1201</t>
  </si>
  <si>
    <t xml:space="preserve">Empirical analysis of air traffic controller dynamics</t>
  </si>
  <si>
    <t xml:space="preserve">10.1016/j.trc.2012.04.006</t>
  </si>
  <si>
    <t xml:space="preserve">R1203</t>
  </si>
  <si>
    <t xml:space="preserve">Effects of data communications failure on air traffic controller sector management effectiveness, situation awareness, and workload</t>
  </si>
  <si>
    <t xml:space="preserve">10.1007/978-3-642-21669-5_58</t>
  </si>
  <si>
    <t xml:space="preserve">R1204</t>
  </si>
  <si>
    <t xml:space="preserve">Modeling millimeter wave tropospheric attenuations for UAS and terrestrial aviation communications</t>
  </si>
  <si>
    <t xml:space="preserve">10.1109/WTS.2018.8363947</t>
  </si>
  <si>
    <t xml:space="preserve">R1205</t>
  </si>
  <si>
    <t xml:space="preserve">L-DACS1 air-to-air data-link protocol design and performance</t>
  </si>
  <si>
    <t xml:space="preserve">10.1109/ICNSURV.2011.5935262</t>
  </si>
  <si>
    <t xml:space="preserve">R1206</t>
  </si>
  <si>
    <t xml:space="preserve">Sensitivity study of wide area multilateration using ranging source of 1090 MHz ADS-B signal</t>
  </si>
  <si>
    <t xml:space="preserve">R1207</t>
  </si>
  <si>
    <t xml:space="preserve">Evaluating pilot situation awareness using multi-agent systems</t>
  </si>
  <si>
    <t xml:space="preserve">10.3233/IDT-130166</t>
  </si>
  <si>
    <t xml:space="preserve">R1208</t>
  </si>
  <si>
    <t xml:space="preserve">Robust output feedback stabilization of nonlinear networked systems via a finite data-rate communication channel</t>
  </si>
  <si>
    <t xml:space="preserve">10.1007/s11424-011-8397-5</t>
  </si>
  <si>
    <t xml:space="preserve">R1209</t>
  </si>
  <si>
    <t xml:space="preserve">SAMM: The solar activity MOF monitor</t>
  </si>
  <si>
    <t xml:space="preserve">10.1117/12.2313373</t>
  </si>
  <si>
    <t xml:space="preserve">R1210</t>
  </si>
  <si>
    <t xml:space="preserve">Measurement of Interference Path Loss between Wireless Avionics Intra-Communications system and aircraft systems at 4.2-4.4 GHz band</t>
  </si>
  <si>
    <t xml:space="preserve">10.1109/LAPC.2014.6996335</t>
  </si>
  <si>
    <t xml:space="preserve">R1211</t>
  </si>
  <si>
    <t xml:space="preserve">Design and application analysis of the global coverage satellite system for space aeronautics ATM information collection</t>
  </si>
  <si>
    <t xml:space="preserve">10.1007/978-981-10-4403-8_23</t>
  </si>
  <si>
    <t xml:space="preserve">R1212</t>
  </si>
  <si>
    <t xml:space="preserve">An overview of VHF civil radio network and the resolution of spectrum depletion</t>
  </si>
  <si>
    <t xml:space="preserve">10.1109/ICNSURV.2010.5503256</t>
  </si>
  <si>
    <t xml:space="preserve">R1213</t>
  </si>
  <si>
    <t xml:space="preserve">Design of a low complexity channel filter satisfying LDACS1 spectral mask specifications for air-to-ground communication</t>
  </si>
  <si>
    <t xml:space="preserve">10.1109/ICNSURV.2016.7486378</t>
  </si>
  <si>
    <t xml:space="preserve">R1214</t>
  </si>
  <si>
    <t xml:space="preserve">Study on bandwidth control for multiple transmission rates in IEEE 802.11e EDCAF</t>
  </si>
  <si>
    <t xml:space="preserve">10.1002/wcm.827</t>
  </si>
  <si>
    <t xml:space="preserve">R1216</t>
  </si>
  <si>
    <t xml:space="preserve">A global snapshot collection algorithm with concurrent initiators with non-FIFO channel</t>
  </si>
  <si>
    <t xml:space="preserve">10.1007/978-3-642-24650-0_29</t>
  </si>
  <si>
    <t xml:space="preserve">R1217</t>
  </si>
  <si>
    <t xml:space="preserve">OFDM PLC transmission for aircraft flight control system</t>
  </si>
  <si>
    <t xml:space="preserve">10.1109/ISPLC.2014.6812333</t>
  </si>
  <si>
    <t xml:space="preserve">R1218</t>
  </si>
  <si>
    <t xml:space="preserve">A human-in-the-loop evaluation of flow-based trajectory management in mixed equipage airspace</t>
  </si>
  <si>
    <t xml:space="preserve">R1219</t>
  </si>
  <si>
    <t xml:space="preserve">Smart Monitoring System for Aircraft Structures (2011-01-2714)</t>
  </si>
  <si>
    <t xml:space="preserve">10.4271/2011-01-2714</t>
  </si>
  <si>
    <t xml:space="preserve">R1220</t>
  </si>
  <si>
    <t xml:space="preserve">Compressive sampling and data fusion-based structural damage monitoring in wireless sensor network</t>
  </si>
  <si>
    <t xml:space="preserve">10.1007/s11227-016-1938-x</t>
  </si>
  <si>
    <t xml:space="preserve">R1221</t>
  </si>
  <si>
    <t xml:space="preserve">The approach to provide and support the aviation transportation system safety based on automation models</t>
  </si>
  <si>
    <t xml:space="preserve">10.1007/978-3-319-57141-6_26</t>
  </si>
  <si>
    <t xml:space="preserve">R1222</t>
  </si>
  <si>
    <t xml:space="preserve">Design of wideband inverted sinc shaped monopole antenna</t>
  </si>
  <si>
    <t xml:space="preserve">10.1109/CSNT.2014.16</t>
  </si>
  <si>
    <t xml:space="preserve">R1224</t>
  </si>
  <si>
    <t xml:space="preserve">Software system for data extraction and communication in virtual environment for pilots' performances optimization</t>
  </si>
  <si>
    <t xml:space="preserve">10.1109/ICComm.2014.6866668</t>
  </si>
  <si>
    <t xml:space="preserve">R1225</t>
  </si>
  <si>
    <t xml:space="preserve">SBAS L1/L5 enhanced ICD for aviation: Experimentation results trade-off analysis for a european GNSS regional service</t>
  </si>
  <si>
    <t xml:space="preserve">10.33012/2018.15940</t>
  </si>
  <si>
    <t xml:space="preserve">R1226</t>
  </si>
  <si>
    <t xml:space="preserve">A multi-university small satellite systems design course: Systems engineering approach</t>
  </si>
  <si>
    <t xml:space="preserve">10.2514/6.2019-3466</t>
  </si>
  <si>
    <t xml:space="preserve">R1227</t>
  </si>
  <si>
    <t xml:space="preserve">Airport surface wireless technology and profile status</t>
  </si>
  <si>
    <t xml:space="preserve">10.1109/ICNSURV.2011.5935280</t>
  </si>
  <si>
    <t xml:space="preserve">R1228</t>
  </si>
  <si>
    <t xml:space="preserve">Aeronautical telecommunication network protocol tunnel prototype over IP based infrastructure</t>
  </si>
  <si>
    <t xml:space="preserve">R1230</t>
  </si>
  <si>
    <t xml:space="preserve">Outcomes of the 2015 world radiocommunication conference for aeronautical spectrum and applications</t>
  </si>
  <si>
    <t xml:space="preserve">10.1109/ICNSURV.2016.7486357</t>
  </si>
  <si>
    <t xml:space="preserve">R1231</t>
  </si>
  <si>
    <t xml:space="preserve">Adaptive filtering with bandwidth constraints in the feedback path</t>
  </si>
  <si>
    <t xml:space="preserve">10.1016/j.sigpro.2011.06.012</t>
  </si>
  <si>
    <t xml:space="preserve">R1232</t>
  </si>
  <si>
    <t xml:space="preserve">The influence simulation analysis of the sensitive area of the instrument landing system's localizer on the position of the aircraft take-off waiting line</t>
  </si>
  <si>
    <t xml:space="preserve">10.1145/3297097.3297100</t>
  </si>
  <si>
    <t xml:space="preserve">R1233</t>
  </si>
  <si>
    <t xml:space="preserve">A flexible airborne datalink system architecture for civil helicopters</t>
  </si>
  <si>
    <t xml:space="preserve">10.1109/ICNSURV.2018.8384882</t>
  </si>
  <si>
    <t xml:space="preserve">R1234</t>
  </si>
  <si>
    <t xml:space="preserve">Semi-supervised learning with semantic knowledge extraction for improved speech recognition in air traffic control</t>
  </si>
  <si>
    <t xml:space="preserve">10.21437/Interspeech.2017-1446</t>
  </si>
  <si>
    <t xml:space="preserve">R1235</t>
  </si>
  <si>
    <t xml:space="preserve">Analysis of civil aviation communications error events based on SHEL model</t>
  </si>
  <si>
    <t xml:space="preserve">10.1061/41177(415)267</t>
  </si>
  <si>
    <t xml:space="preserve">R1236</t>
  </si>
  <si>
    <t xml:space="preserve">The effect of mobile phone adoption on economic output</t>
  </si>
  <si>
    <t xml:space="preserve">R1237</t>
  </si>
  <si>
    <t xml:space="preserve">Sensory Prognostics and Management System (SPMS) (2012-01-2095)</t>
  </si>
  <si>
    <t xml:space="preserve">10.4271/2012-01-2095</t>
  </si>
  <si>
    <t xml:space="preserve">R1238</t>
  </si>
  <si>
    <t xml:space="preserve">Standardization of shape memory alloy test methods toward certification of aerospace applications</t>
  </si>
  <si>
    <t xml:space="preserve">10.1088/0964-1726/24/8/082001</t>
  </si>
  <si>
    <t xml:space="preserve">R1239</t>
  </si>
  <si>
    <t xml:space="preserve">Improvement of anomalous behavior detection of GNSS signal based on TDNN for augmentation systems</t>
  </si>
  <si>
    <t xml:space="preserve">10.3390/s18113800</t>
  </si>
  <si>
    <t xml:space="preserve">R1240</t>
  </si>
  <si>
    <t xml:space="preserve">Public key cryptography based approach for securing SCADA communications</t>
  </si>
  <si>
    <t xml:space="preserve">10.1007/978-3-642-19542-6_10</t>
  </si>
  <si>
    <t xml:space="preserve">R1241</t>
  </si>
  <si>
    <t xml:space="preserve">Outsourcing aviation maintenance: Human factors implications, specifically for communications</t>
  </si>
  <si>
    <t xml:space="preserve">10.1080/10508411003617771</t>
  </si>
  <si>
    <t xml:space="preserve">R1242</t>
  </si>
  <si>
    <t xml:space="preserve">Lightweight optical aero-engine control network</t>
  </si>
  <si>
    <t xml:space="preserve">R1243</t>
  </si>
  <si>
    <t xml:space="preserve">Availability analysis of satellite positioning systems for aviation using the PRISM model checker</t>
  </si>
  <si>
    <t xml:space="preserve">10.1109/CSE.2014.148</t>
  </si>
  <si>
    <t xml:space="preserve">R1244</t>
  </si>
  <si>
    <t xml:space="preserve">Aircraft GNSS-based precision approach and RAIMS simulations on a SimPit platform</t>
  </si>
  <si>
    <t xml:space="preserve">10.1109/PLANS.2010.5507310</t>
  </si>
  <si>
    <t xml:space="preserve">R1245</t>
  </si>
  <si>
    <t xml:space="preserve">COMPUTER SIMULATION OF A TAPERED HELICAL ANTENNA FOR WIRELESS COMMUNICATION APPLICATIONS</t>
  </si>
  <si>
    <t xml:space="preserve">R1246</t>
  </si>
  <si>
    <t xml:space="preserve">Efficient aviation spectrum management through dynamic frequency allocation</t>
  </si>
  <si>
    <t xml:space="preserve">10.1109/ICNSURV.2015.7121239</t>
  </si>
  <si>
    <t xml:space="preserve">R1247</t>
  </si>
  <si>
    <t xml:space="preserve">A high-speed image acquisition and processing system in photoelectric tracking</t>
  </si>
  <si>
    <t xml:space="preserve">10.1117/12.900679</t>
  </si>
  <si>
    <t xml:space="preserve">R1248</t>
  </si>
  <si>
    <t xml:space="preserve">A task analytic process to define future concepts in aviation</t>
  </si>
  <si>
    <t xml:space="preserve">10.1007/978-3-319-07725-3_23</t>
  </si>
  <si>
    <t xml:space="preserve">R1249</t>
  </si>
  <si>
    <t xml:space="preserve">Recent implementations and challenges of an IP network for Air Traffic Management in Colombia</t>
  </si>
  <si>
    <t xml:space="preserve">10.1109/ICNSURV.2017.8011911</t>
  </si>
  <si>
    <t xml:space="preserve">R1250</t>
  </si>
  <si>
    <t xml:space="preserve">Logic &amp; Proofs for cyber-physical systems</t>
  </si>
  <si>
    <t xml:space="preserve">10.1007/978-3-319-40229-1_3</t>
  </si>
  <si>
    <t xml:space="preserve">R1251</t>
  </si>
  <si>
    <t xml:space="preserve">Automatically detecting changes and anomalies in unmanned aerial vehicle images</t>
  </si>
  <si>
    <t xml:space="preserve">10.1109/RTSI.2015.7325122</t>
  </si>
  <si>
    <t xml:space="preserve">R1252</t>
  </si>
  <si>
    <t xml:space="preserve">A safe option to pave the way for the implementation of a Satellite Based Augmentation System</t>
  </si>
  <si>
    <t xml:space="preserve">10.33012/2016.14558</t>
  </si>
  <si>
    <t xml:space="preserve">R1253</t>
  </si>
  <si>
    <t xml:space="preserve">Modeling for spectrum congestion analysis of air-to-ground voice communications in China</t>
  </si>
  <si>
    <t xml:space="preserve">10.1109/ICNSurv.2012.6218384</t>
  </si>
  <si>
    <t xml:space="preserve">R1254</t>
  </si>
  <si>
    <t xml:space="preserve">Multi-sensor fusion with interacting multiple model filter for improved aircraft position accuracy</t>
  </si>
  <si>
    <t xml:space="preserve">10.3390/s130404122</t>
  </si>
  <si>
    <t xml:space="preserve">R1255</t>
  </si>
  <si>
    <t xml:space="preserve">Method of triple trilateration for determining super precision coordinates of object location</t>
  </si>
  <si>
    <t xml:space="preserve">10.1615/JAutomatInfScien.v50.i6.60</t>
  </si>
  <si>
    <t xml:space="preserve">R1256</t>
  </si>
  <si>
    <t xml:space="preserve">Automated integration of arrival/Departure schedules</t>
  </si>
  <si>
    <t xml:space="preserve">R1257</t>
  </si>
  <si>
    <t xml:space="preserve">Simulation modelling of the transmission system of the telemetric information on the status of the on-board aircraft status</t>
  </si>
  <si>
    <t xml:space="preserve">10.18287/1613-0073-2018-2212-105-111</t>
  </si>
  <si>
    <t xml:space="preserve">R1258</t>
  </si>
  <si>
    <t xml:space="preserve">Active Noise Reduction for general aviation aircraft using conventional headsets</t>
  </si>
  <si>
    <t xml:space="preserve">R1259</t>
  </si>
  <si>
    <t xml:space="preserve">On selection of proper IEEE 802.16-based standard for Aeronautical Mobile Airport Surface Communications (AeroMACS) application</t>
  </si>
  <si>
    <t xml:space="preserve">10.1109/ICNSURV.2011.5935281</t>
  </si>
  <si>
    <t xml:space="preserve">R1260</t>
  </si>
  <si>
    <t xml:space="preserve">Agile Condor: A scalable high performance embedded computing architecture</t>
  </si>
  <si>
    <t xml:space="preserve">10.1109/HPEC.2015.7322447</t>
  </si>
  <si>
    <t xml:space="preserve">R1261</t>
  </si>
  <si>
    <t xml:space="preserve">FAA's controller pilot automatic Data Communication (Data Comm) system software development</t>
  </si>
  <si>
    <t xml:space="preserve">10.1145/2402676.2402700</t>
  </si>
  <si>
    <t xml:space="preserve">R1262</t>
  </si>
  <si>
    <t xml:space="preserve">When Communication Breaks Down or What was that? – The Importance of Communication for Successful Coordination in Complex Systems</t>
  </si>
  <si>
    <t xml:space="preserve">10.1016/j.promfg.2015.07.501</t>
  </si>
  <si>
    <t xml:space="preserve">R1263</t>
  </si>
  <si>
    <t xml:space="preserve">Cockpit to helmet optical wireless link: Prototype hardware demonstration</t>
  </si>
  <si>
    <t xml:space="preserve">10.1117/12.830682</t>
  </si>
  <si>
    <t xml:space="preserve">R1264</t>
  </si>
  <si>
    <t xml:space="preserve">Performance analysis of routing algorithms in AANET with realistic access layer</t>
  </si>
  <si>
    <t xml:space="preserve">10.1007/978-3-319-38921-9_18</t>
  </si>
  <si>
    <t xml:space="preserve">R1266</t>
  </si>
  <si>
    <t xml:space="preserve">Enterprise integration: A framework for connecting the dots</t>
  </si>
  <si>
    <t xml:space="preserve">R1268</t>
  </si>
  <si>
    <t xml:space="preserve">Usability assessment of drone technology with regard to land border security</t>
  </si>
  <si>
    <t xml:space="preserve">R1269</t>
  </si>
  <si>
    <t xml:space="preserve">Implementation of ADS-B systems - Benefits and considerations</t>
  </si>
  <si>
    <t xml:space="preserve">R1270</t>
  </si>
  <si>
    <t xml:space="preserve">Integration of UAS in existing air traffic management systems connotations and consequences</t>
  </si>
  <si>
    <t xml:space="preserve">10.1109/ICNSURV.2018.8384851</t>
  </si>
  <si>
    <t xml:space="preserve">R1271</t>
  </si>
  <si>
    <t xml:space="preserve">Observations on the US MSS/GPS interference controversy</t>
  </si>
  <si>
    <t xml:space="preserve">10.1109/MWC.2012.6155870</t>
  </si>
  <si>
    <t xml:space="preserve">R1272</t>
  </si>
  <si>
    <t xml:space="preserve">Design and implementation of general aviation flight service cloud platform</t>
  </si>
  <si>
    <t xml:space="preserve">10.1109/ICCCBDA.2018.8386590</t>
  </si>
  <si>
    <t xml:space="preserve">R1273</t>
  </si>
  <si>
    <t xml:space="preserve">Analysis of work patterns as a foundation for humanautomation communication in multiple remote towers</t>
  </si>
  <si>
    <t xml:space="preserve">R1274</t>
  </si>
  <si>
    <t xml:space="preserve">Protecting web 2.0 services from botnet exploitations</t>
  </si>
  <si>
    <t xml:space="preserve">10.1109/CTC.2010.10</t>
  </si>
  <si>
    <t xml:space="preserve">R1275</t>
  </si>
  <si>
    <t xml:space="preserve">Workload functions distribution method: A workload measurement based on pilot’s behaviors</t>
  </si>
  <si>
    <t xml:space="preserve">10.1007/978-3-319-40030-3_6</t>
  </si>
  <si>
    <t xml:space="preserve">R1277</t>
  </si>
  <si>
    <t xml:space="preserve">A simulation analysis of nodes mobility and traffic load aware routing strategy in aeronautical ad hoc networks</t>
  </si>
  <si>
    <t xml:space="preserve">10.1109/IBCAST.2012.6177592</t>
  </si>
  <si>
    <t xml:space="preserve">R1278</t>
  </si>
  <si>
    <t xml:space="preserve">An efficient constraint programming model for cooperative flight departures</t>
  </si>
  <si>
    <t xml:space="preserve">R1279</t>
  </si>
  <si>
    <t xml:space="preserve">SACCSA - SBAS in the CAR/SAM regions: Feasibility analysis</t>
  </si>
  <si>
    <t xml:space="preserve">R1280</t>
  </si>
  <si>
    <t xml:space="preserve">Threat modeling for aircraft access to national airspace system wide information management program</t>
  </si>
  <si>
    <t xml:space="preserve">R1281</t>
  </si>
  <si>
    <t xml:space="preserve">Bridging the Commercial Aircraft Connectivity Gap</t>
  </si>
  <si>
    <t xml:space="preserve">R1282</t>
  </si>
  <si>
    <t xml:space="preserve">Performance evaluation of automatic dependant surveillance broadcast data distribution using named data networking</t>
  </si>
  <si>
    <t xml:space="preserve">10.1109/ICon-EEI.2018.8784310</t>
  </si>
  <si>
    <t xml:space="preserve">R1283</t>
  </si>
  <si>
    <t xml:space="preserve">A practical way forward for aviation multi-constellation service provision based on the ICAO GNSS charter</t>
  </si>
  <si>
    <t xml:space="preserve">10.33012/2017.15155</t>
  </si>
  <si>
    <t xml:space="preserve">R1284</t>
  </si>
  <si>
    <t xml:space="preserve">Ionospheric delay forecast using GNSS data</t>
  </si>
  <si>
    <t xml:space="preserve">R1287</t>
  </si>
  <si>
    <t xml:space="preserve">A novel low bit rate speech secure terminal system based on PSTN line</t>
  </si>
  <si>
    <t xml:space="preserve">10.1109/CISP.2015.7408096</t>
  </si>
  <si>
    <t xml:space="preserve">R1288</t>
  </si>
  <si>
    <t xml:space="preserve">Security risk assessment process for UAS in the NAS CNPC architecture</t>
  </si>
  <si>
    <t xml:space="preserve">10.1109/ICNSurv.2013.6548540</t>
  </si>
  <si>
    <t xml:space="preserve">R1289</t>
  </si>
  <si>
    <t xml:space="preserve">Understanding the human performance envelope using electrophysiological measures from wearable technology</t>
  </si>
  <si>
    <t xml:space="preserve">10.1007/s10111-017-0431-5</t>
  </si>
  <si>
    <t xml:space="preserve">R1290</t>
  </si>
  <si>
    <t xml:space="preserve">Identifying key risk factors in air traffic control by exploratory and confirmatory factor analysis</t>
  </si>
  <si>
    <t xml:space="preserve">10.1002/atr.126</t>
  </si>
  <si>
    <t xml:space="preserve">R1291</t>
  </si>
  <si>
    <t xml:space="preserve">Motion control system design of intelligent car based on SPCE061A</t>
  </si>
  <si>
    <t xml:space="preserve">10.1109/MMIT.2010.123</t>
  </si>
  <si>
    <t xml:space="preserve">R1292</t>
  </si>
  <si>
    <t xml:space="preserve">GNSS-based auroral space weather products</t>
  </si>
  <si>
    <t xml:space="preserve">R1293</t>
  </si>
  <si>
    <t xml:space="preserve">Parameter impact on sharing studies between UAS CNPC satellite transmitters and terrestrial systems</t>
  </si>
  <si>
    <t xml:space="preserve">10.1109/ICNSURV.2015.7121272</t>
  </si>
  <si>
    <t xml:space="preserve">R1294</t>
  </si>
  <si>
    <t xml:space="preserve">Concatenated block codes</t>
  </si>
  <si>
    <t xml:space="preserve">10.1109/ICCAE.2010.5451710</t>
  </si>
  <si>
    <t xml:space="preserve">R1295</t>
  </si>
  <si>
    <t xml:space="preserve">Study of the SMS platform optimization technology based on sliding window and load balancing mechanism</t>
  </si>
  <si>
    <t xml:space="preserve">10.1109/WISA.2010.27</t>
  </si>
  <si>
    <t xml:space="preserve">R1296</t>
  </si>
  <si>
    <t xml:space="preserve">Incremental benefits of dual frequency signals for the wide area augmentation system</t>
  </si>
  <si>
    <t xml:space="preserve">10.1109/PLANS.2010.5507217</t>
  </si>
  <si>
    <t xml:space="preserve">R1297</t>
  </si>
  <si>
    <t xml:space="preserve">Evaluation of quasi-zenith satellite system L5S signal</t>
  </si>
  <si>
    <t xml:space="preserve">10.33012/2018.15597</t>
  </si>
  <si>
    <t xml:space="preserve">R1298</t>
  </si>
  <si>
    <t xml:space="preserve">Design of a new aviation proactive maintenance support system</t>
  </si>
  <si>
    <t xml:space="preserve">10.1109/ICCSN.2017.8230226</t>
  </si>
  <si>
    <t xml:space="preserve">R1299</t>
  </si>
  <si>
    <t xml:space="preserve">LAAS integrity study based on internal reliability theory</t>
  </si>
  <si>
    <t xml:space="preserve">R1300</t>
  </si>
  <si>
    <t xml:space="preserve">IEEE 802.16j-relay fortified aeromacs networks; Benefits and challenges</t>
  </si>
  <si>
    <t xml:space="preserve">10.1109/ICNSurv.2014.6820001</t>
  </si>
  <si>
    <t xml:space="preserve">R1301</t>
  </si>
  <si>
    <t xml:space="preserve">Attribute-based access control architectures with the eIDAS protocols</t>
  </si>
  <si>
    <t xml:space="preserve">10.1007/978-3-319-49100-4_9</t>
  </si>
  <si>
    <t xml:space="preserve">R1303</t>
  </si>
  <si>
    <t xml:space="preserve">The arctic testbed - Providing GNSS services in the Arctic region</t>
  </si>
  <si>
    <t xml:space="preserve">R1304</t>
  </si>
  <si>
    <t xml:space="preserve">DME potential for data capability</t>
  </si>
  <si>
    <t xml:space="preserve">10.1109/ICNSURV.2018.8384888</t>
  </si>
  <si>
    <t xml:space="preserve">R1306</t>
  </si>
  <si>
    <t xml:space="preserve">Survey on context-aware publish/subscribe systems for VANET</t>
  </si>
  <si>
    <t xml:space="preserve">10.1007/978-3-642-37974-1_4</t>
  </si>
  <si>
    <t xml:space="preserve">R1307</t>
  </si>
  <si>
    <t xml:space="preserve">Research on the ionospheric delay correction methods in SBAS of compass</t>
  </si>
  <si>
    <t xml:space="preserve">R1308</t>
  </si>
  <si>
    <t xml:space="preserve">UAS satellite earth station emission limits for terrestrial system interference protection</t>
  </si>
  <si>
    <t xml:space="preserve">10.1109/ICNSURV.2017.8011920</t>
  </si>
  <si>
    <t xml:space="preserve">R1309</t>
  </si>
  <si>
    <t xml:space="preserve">Multiple QoS Parameters-Based Routing for Civil Aeronautical Ad Hoc Networks</t>
  </si>
  <si>
    <t xml:space="preserve">10.1109/JIOT.2017.2669993</t>
  </si>
  <si>
    <t xml:space="preserve">R1310</t>
  </si>
  <si>
    <t xml:space="preserve">Remote terminal support using common backend processing</t>
  </si>
  <si>
    <t xml:space="preserve">R1312</t>
  </si>
  <si>
    <t xml:space="preserve">The use of a satellite communications systems for command and control of the national aeronautics and space administration surrogate unmanned aerial system research aircraft</t>
  </si>
  <si>
    <t xml:space="preserve">R1313</t>
  </si>
  <si>
    <t xml:space="preserve">Options for the Iris satellite-based datalink</t>
  </si>
  <si>
    <t xml:space="preserve">10.1109/ICNSURV.2011.5935264</t>
  </si>
  <si>
    <t xml:space="preserve">R1314</t>
  </si>
  <si>
    <t xml:space="preserve">Aero-Sim: An NS-2 based simulator for aeronautical Ad Hoc networks</t>
  </si>
  <si>
    <t xml:space="preserve">10.3837/tiis.2015.07.012</t>
  </si>
  <si>
    <t xml:space="preserve">R1315</t>
  </si>
  <si>
    <t xml:space="preserve">Systems integration of unmanned aircraft into the National Airspace: Part of the Federal Aviation Administration Next Generation Air Transportation System</t>
  </si>
  <si>
    <t xml:space="preserve">10.1109/SIEDS.2012.6215142</t>
  </si>
  <si>
    <t xml:space="preserve">R1316</t>
  </si>
  <si>
    <t xml:space="preserve">"Head up and eyes out" advances in head mounted displays capabilities</t>
  </si>
  <si>
    <t xml:space="preserve">10.1117/12.2021135</t>
  </si>
  <si>
    <t xml:space="preserve">R1317</t>
  </si>
  <si>
    <t xml:space="preserve">Expanding the spectrum: 20 years of advances in MMW imagery</t>
  </si>
  <si>
    <t xml:space="preserve">10.1117/12.2264876</t>
  </si>
  <si>
    <t xml:space="preserve">R1318</t>
  </si>
  <si>
    <t xml:space="preserve">FaultInjector: A tool for injection of faults in synchronous WS-BPEL processes</t>
  </si>
  <si>
    <t xml:space="preserve">10.1109/ECBS-EERC.2011.23</t>
  </si>
  <si>
    <t xml:space="preserve">R1319</t>
  </si>
  <si>
    <t xml:space="preserve">Application of 802.11 technologies in ground to ground aviation connectivity</t>
  </si>
  <si>
    <t xml:space="preserve">10.1109/CICSyN.2012.81</t>
  </si>
  <si>
    <t xml:space="preserve">R1321</t>
  </si>
  <si>
    <t xml:space="preserve">Aeronautical data exchange gateway: Answer to ATC standardization problem?</t>
  </si>
  <si>
    <t xml:space="preserve">10.1109/ICNSURV.2016.7486373</t>
  </si>
  <si>
    <t xml:space="preserve">R1322</t>
  </si>
  <si>
    <t xml:space="preserve">The hybrid GNSS/WCT multi-coach multi-constellation train positioning and integrity system</t>
  </si>
  <si>
    <t xml:space="preserve">10.33012/2016.13405</t>
  </si>
  <si>
    <t xml:space="preserve">R1323</t>
  </si>
  <si>
    <t xml:space="preserve">Novel flight management system for improved safety and sustainability in the CNS+A context</t>
  </si>
  <si>
    <t xml:space="preserve">10.1109/ICNSURV.2015.7121225</t>
  </si>
  <si>
    <t xml:space="preserve">R1324</t>
  </si>
  <si>
    <t xml:space="preserve">Multiple kernel learning for heterogeneous anomaly detection: Algorithm and aviation safety case study</t>
  </si>
  <si>
    <t xml:space="preserve">10.1145/1835804.1835813</t>
  </si>
  <si>
    <t xml:space="preserve">R1325</t>
  </si>
  <si>
    <t xml:space="preserve">Cellular phone loaded network field test using swarming drones: Replacing drive test and particle swarm optimization</t>
  </si>
  <si>
    <t xml:space="preserve">10.2514/6.2019-3353</t>
  </si>
  <si>
    <t xml:space="preserve">R1326</t>
  </si>
  <si>
    <t xml:space="preserve">Metamodeling and the Critic-based approach to multi-level optimization</t>
  </si>
  <si>
    <t xml:space="preserve">10.1016/j.neunet.2012.02.036</t>
  </si>
  <si>
    <t xml:space="preserve">R1327</t>
  </si>
  <si>
    <t xml:space="preserve">Optimisations in aeronautical communications using aircrafts as relays</t>
  </si>
  <si>
    <t xml:space="preserve">10.1109/ICNSURV.2017.8011934</t>
  </si>
  <si>
    <t xml:space="preserve">R1328</t>
  </si>
  <si>
    <t xml:space="preserve">Aeronautical ad hoc network for civil aviation</t>
  </si>
  <si>
    <t xml:space="preserve">10.1007/978-3-319-06644-8_8</t>
  </si>
  <si>
    <t xml:space="preserve">R1329</t>
  </si>
  <si>
    <t xml:space="preserve">Software professionalism - Is it "Good enough?" (Panel)</t>
  </si>
  <si>
    <t xml:space="preserve">10.1145/2814189.2818718</t>
  </si>
  <si>
    <t xml:space="preserve">R1330</t>
  </si>
  <si>
    <t xml:space="preserve">Quantized H∞ filtering for unreliable communication channel</t>
  </si>
  <si>
    <t xml:space="preserve">10.1109/ICICIP.2010.5564222</t>
  </si>
  <si>
    <t xml:space="preserve">R1331</t>
  </si>
  <si>
    <t xml:space="preserve">Modeling and simulation of near-earth wireless sensor networks for agriculture based application using OMNeT++</t>
  </si>
  <si>
    <t xml:space="preserve">10.1109/ICCAIE.2010.5735061</t>
  </si>
  <si>
    <t xml:space="preserve">R1333</t>
  </si>
  <si>
    <t xml:space="preserve">Interleaver optimization using population-based metaheuristics</t>
  </si>
  <si>
    <t xml:space="preserve">R1334</t>
  </si>
  <si>
    <t xml:space="preserve">Angle-of-arrival GPS integrity monitoring insensitive to satellite constellation geometry</t>
  </si>
  <si>
    <t xml:space="preserve">10.1007/978-3-319-46301-8_49</t>
  </si>
  <si>
    <t xml:space="preserve">R1335</t>
  </si>
  <si>
    <t xml:space="preserve">Multiprotocol CWDM network for refueling vision system</t>
  </si>
  <si>
    <t xml:space="preserve">10.1109/AVFOP.2016.7789908</t>
  </si>
  <si>
    <t xml:space="preserve">R1336</t>
  </si>
  <si>
    <t xml:space="preserve">Stabilization and disturbance attenuation over a Gaussian communication channel</t>
  </si>
  <si>
    <t xml:space="preserve">10.1109/TAC.2010.2040507</t>
  </si>
  <si>
    <t xml:space="preserve">R1337</t>
  </si>
  <si>
    <t xml:space="preserve">Near the ground laser communication system for monitoring the statistics of turbulence: Fried parameter estimation from the PSF measurements</t>
  </si>
  <si>
    <t xml:space="preserve">10.1117/12.853373</t>
  </si>
  <si>
    <t xml:space="preserve">R1338</t>
  </si>
  <si>
    <t xml:space="preserve">Evolution of LDACS protocol to support safety aeronautical communications by satellite</t>
  </si>
  <si>
    <t xml:space="preserve">10.2514/6.2010-8686</t>
  </si>
  <si>
    <t xml:space="preserve">R1339</t>
  </si>
  <si>
    <t xml:space="preserve">An approach to collaborative learning and the serious game development</t>
  </si>
  <si>
    <t xml:space="preserve">10.1007/s10111-014-0289-8</t>
  </si>
  <si>
    <t xml:space="preserve">R1340</t>
  </si>
  <si>
    <t xml:space="preserve">Channel Projection-Based CCA Target Identification Method for an SSVEP-Based BCI System of Quadrotor Helicopter Control</t>
  </si>
  <si>
    <t xml:space="preserve">10.1155/2019/2361282</t>
  </si>
  <si>
    <t xml:space="preserve">R1341</t>
  </si>
  <si>
    <t xml:space="preserve">RFI mitigation through prediction and avoidance</t>
  </si>
  <si>
    <t xml:space="preserve">10.1117/12.2311917</t>
  </si>
  <si>
    <t xml:space="preserve">R1342</t>
  </si>
  <si>
    <t xml:space="preserve">Fleet™: A distributed information gathering and processing system for the alleviation of commercial air travel anxiety</t>
  </si>
  <si>
    <t xml:space="preserve">R1343</t>
  </si>
  <si>
    <t xml:space="preserve">Commercial Aviation and Cyber Security: A Critical Intersection</t>
  </si>
  <si>
    <t xml:space="preserve">10.4271/t-132</t>
  </si>
  <si>
    <t xml:space="preserve">R1344</t>
  </si>
  <si>
    <t xml:space="preserve">A case study of non-linear dynamics of "human-flow" behavior in terminal airspace</t>
  </si>
  <si>
    <t xml:space="preserve">R1345</t>
  </si>
  <si>
    <t xml:space="preserve">Optimal schedule for LTE-advanced device-to-device communication in aviation</t>
  </si>
  <si>
    <t xml:space="preserve">R1346</t>
  </si>
  <si>
    <t xml:space="preserve">A feature-based and multi-agents-based collaborative manufacturing framework for aircraft structural parts</t>
  </si>
  <si>
    <t xml:space="preserve">10.1109/CSCWD.2012.6221793</t>
  </si>
  <si>
    <t xml:space="preserve">R1347</t>
  </si>
  <si>
    <t xml:space="preserve">Aviation strategic outlook areas driving the NAS CNS-ATM system of systems</t>
  </si>
  <si>
    <t xml:space="preserve">10.1109/ICNSURV.2018.8384858</t>
  </si>
  <si>
    <t xml:space="preserve">R1348</t>
  </si>
  <si>
    <t xml:space="preserve">Narrowband propagation statistics of aeronautical mobile-ground links in the L- and C-bands</t>
  </si>
  <si>
    <t xml:space="preserve">10.1109/ICNSURV.2018.8384842</t>
  </si>
  <si>
    <t xml:space="preserve">R1350</t>
  </si>
  <si>
    <t xml:space="preserve">EEG/ERP as a Measure of Mental Workload in a Simple Piloting Task</t>
  </si>
  <si>
    <t xml:space="preserve">10.1016/j.promfg.2015.07.594</t>
  </si>
  <si>
    <t xml:space="preserve">R1352</t>
  </si>
  <si>
    <t xml:space="preserve">Multi-quadcopter team leader path planning using particle swarm optimization</t>
  </si>
  <si>
    <t xml:space="preserve">10.2514/6.2019-3258</t>
  </si>
  <si>
    <t xml:space="preserve">R1353</t>
  </si>
  <si>
    <t xml:space="preserve">Fault tolerant aviation data tracker design</t>
  </si>
  <si>
    <t xml:space="preserve">10.1109/HONET.2012.6421433</t>
  </si>
  <si>
    <t xml:space="preserve">R1354</t>
  </si>
  <si>
    <t xml:space="preserve">Effects of background noise and visual training on 3D audio</t>
  </si>
  <si>
    <t xml:space="preserve">10.1007/978-3-319-92043-6_21</t>
  </si>
  <si>
    <t xml:space="preserve">R1356</t>
  </si>
  <si>
    <t xml:space="preserve">Position drift compensation in time domain passivity based teleoperation</t>
  </si>
  <si>
    <t xml:space="preserve">10.1109/IROS.2010.5652691</t>
  </si>
  <si>
    <t xml:space="preserve">R1357</t>
  </si>
  <si>
    <t xml:space="preserve">Mobility classifier using radio beacons: A robust approach to differerent GSM and Wi-Fi densities</t>
  </si>
  <si>
    <t xml:space="preserve">10.1109/WI-IAT.2013.72</t>
  </si>
  <si>
    <t xml:space="preserve">R1358</t>
  </si>
  <si>
    <t xml:space="preserve">Influence of intelligent unmanned system on the development of intelligent measuring</t>
  </si>
  <si>
    <t xml:space="preserve">10.1117/12.2503984</t>
  </si>
  <si>
    <t xml:space="preserve">R1360</t>
  </si>
  <si>
    <t xml:space="preserve">On ultra wideband channel modeling for in-body communications</t>
  </si>
  <si>
    <t xml:space="preserve">10.1109/ISWPC.2010.5483804</t>
  </si>
  <si>
    <t xml:space="preserve">R1361</t>
  </si>
  <si>
    <t xml:space="preserve">SARPs Validation Using Aero MACS Prototype - Example of Future Aeronautical Mobile Airport Communication System for SWIM</t>
  </si>
  <si>
    <t xml:space="preserve">10.1109/ISADS.2015.25</t>
  </si>
  <si>
    <t xml:space="preserve">R1362</t>
  </si>
  <si>
    <t xml:space="preserve">Sequential Pareto-optimal decisions made during emergent complex systems of systems: An application to the FAA NextGen</t>
  </si>
  <si>
    <t xml:space="preserve">10.1002/sys.21285</t>
  </si>
  <si>
    <t xml:space="preserve">R1363</t>
  </si>
  <si>
    <t xml:space="preserve">Pilot and controller evaluations of separation Function allocation in air traffic management</t>
  </si>
  <si>
    <t xml:space="preserve">R1364</t>
  </si>
  <si>
    <t xml:space="preserve">Exploiting aerial heterogeneous network for implementing wireless flight recorder</t>
  </si>
  <si>
    <t xml:space="preserve">10.1007/978-3-319-94268-1_16</t>
  </si>
  <si>
    <t xml:space="preserve">R1365</t>
  </si>
  <si>
    <t xml:space="preserve">Performance evaluation of network mobility handover over future aeronautical data link</t>
  </si>
  <si>
    <t xml:space="preserve">10.1016/j.comcom.2011.10.008</t>
  </si>
  <si>
    <t xml:space="preserve">R1366</t>
  </si>
  <si>
    <t xml:space="preserve">Blue Guardian open adaptable architecture for C4ISR (Rising Researcher Presentation)</t>
  </si>
  <si>
    <t xml:space="preserve">10.1117/12.2303535</t>
  </si>
  <si>
    <t xml:space="preserve">R1368</t>
  </si>
  <si>
    <t xml:space="preserve">Field taxing experiments of aircraft access to SWIM over AeroMACS</t>
  </si>
  <si>
    <t xml:space="preserve">10.1109/CAMA.2018.8530563</t>
  </si>
  <si>
    <t xml:space="preserve">R1369</t>
  </si>
  <si>
    <t xml:space="preserve">Research on the real-time simulation system design for missile based on RT-LAB</t>
  </si>
  <si>
    <t xml:space="preserve">10.4156/jcit.vol7.issue11.12</t>
  </si>
  <si>
    <t xml:space="preserve">R1370</t>
  </si>
  <si>
    <t xml:space="preserve">Degrees of freedom of a communication channel: Using DOF singular values</t>
  </si>
  <si>
    <t xml:space="preserve">10.1109/TIT.2010.2040895</t>
  </si>
  <si>
    <t xml:space="preserve">R1371</t>
  </si>
  <si>
    <t xml:space="preserve">Analysis of terrestrial interference protection from UAS CNPC satellite transmitters</t>
  </si>
  <si>
    <t xml:space="preserve">10.1109/ICNSURV.2016.7486387</t>
  </si>
  <si>
    <t xml:space="preserve">R1372</t>
  </si>
  <si>
    <t xml:space="preserve">NextGen and SESAR moving towards ontology-based software development</t>
  </si>
  <si>
    <t xml:space="preserve">10.1109/ICNSURV.2011.5935286</t>
  </si>
  <si>
    <t xml:space="preserve">R1373</t>
  </si>
  <si>
    <t xml:space="preserve">Assessing the impact of aviation security on cyber power</t>
  </si>
  <si>
    <t xml:space="preserve">10.1109/CYCON.2016.7529437</t>
  </si>
  <si>
    <t xml:space="preserve">R1375</t>
  </si>
  <si>
    <t xml:space="preserve">Aeronautical telecommunications network: Advances, challenges, and modeling</t>
  </si>
  <si>
    <t xml:space="preserve">10.1201/b18802</t>
  </si>
  <si>
    <t xml:space="preserve">R1376</t>
  </si>
  <si>
    <t xml:space="preserve">Business intelligence tools for radiology: Creating a prototype model using open-source tools</t>
  </si>
  <si>
    <t xml:space="preserve">10.1007/s10278-008-9167-3</t>
  </si>
  <si>
    <t xml:space="preserve">R1377</t>
  </si>
  <si>
    <t xml:space="preserve">Autonomous air traffic control for non-towered airports</t>
  </si>
  <si>
    <t xml:space="preserve">R1378</t>
  </si>
  <si>
    <t xml:space="preserve">Cost benefit analysis for "non-safety" satellite based aeronautical services</t>
  </si>
  <si>
    <t xml:space="preserve">10.2514/6.2010-8820</t>
  </si>
  <si>
    <t xml:space="preserve">R1379</t>
  </si>
  <si>
    <t xml:space="preserve">Stabilization for nonlinear systems via a limited capacity communication channel with data packet dropout</t>
  </si>
  <si>
    <t xml:space="preserve">10.1007/s11768-010-9189-5</t>
  </si>
  <si>
    <t xml:space="preserve">R1380</t>
  </si>
  <si>
    <t xml:space="preserve">Statistical character of body area communication channel and system performance simulation</t>
  </si>
  <si>
    <t xml:space="preserve">10.1109/INDUSIS.2010.5565833</t>
  </si>
  <si>
    <t xml:space="preserve">R1381</t>
  </si>
  <si>
    <t xml:space="preserve">EGNOS performance navigation on board oceanographic Hespérides vessel</t>
  </si>
  <si>
    <t xml:space="preserve">10.33012/2019.16953</t>
  </si>
  <si>
    <t xml:space="preserve">R1382</t>
  </si>
  <si>
    <t xml:space="preserve">Modelling of situation awareness with perception, attention, and prior and retrospective awareness</t>
  </si>
  <si>
    <t xml:space="preserve">10.1016/j.bica.2015.04.010</t>
  </si>
  <si>
    <t xml:space="preserve">R1383</t>
  </si>
  <si>
    <t xml:space="preserve">LDACS: Future aeronautical communications for air-traffic management</t>
  </si>
  <si>
    <t xml:space="preserve">10.1109/MCOM.2014.6815900</t>
  </si>
  <si>
    <t xml:space="preserve">R1384</t>
  </si>
  <si>
    <t xml:space="preserve">Analysis of an all optical de-multiplexer architecture utilizing bevel design for spatially multiplexed optical fiber communication systems</t>
  </si>
  <si>
    <t xml:space="preserve">10.1117/12.2061131</t>
  </si>
  <si>
    <t xml:space="preserve">R1386</t>
  </si>
  <si>
    <t xml:space="preserve">Load-balancing algorithms for multifrequency data communications</t>
  </si>
  <si>
    <t xml:space="preserve">10.1109/ICNSurv.2014.6820013</t>
  </si>
  <si>
    <t xml:space="preserve">R1388</t>
  </si>
  <si>
    <t xml:space="preserve">GNSS integrity in the Arctic</t>
  </si>
  <si>
    <t xml:space="preserve">R1389</t>
  </si>
  <si>
    <t xml:space="preserve">Sky-scanner: An improved decision support system for Air Traffic Management</t>
  </si>
  <si>
    <t xml:space="preserve">R1390</t>
  </si>
  <si>
    <t xml:space="preserve">Drone information service requirements for U-space</t>
  </si>
  <si>
    <t xml:space="preserve">R1391</t>
  </si>
  <si>
    <t xml:space="preserve">ATC simulation for flight training: The missing link</t>
  </si>
  <si>
    <t xml:space="preserve">10.1142/S1793962317430012</t>
  </si>
  <si>
    <t xml:space="preserve">R1392</t>
  </si>
  <si>
    <t xml:space="preserve">Evaluation of a real-time GBAS ground facility prototype and its user performance</t>
  </si>
  <si>
    <t xml:space="preserve">R1393</t>
  </si>
  <si>
    <t xml:space="preserve">Signal processing methods for removing the effects of whole-body vibration upon speech</t>
  </si>
  <si>
    <t xml:space="preserve">10.1109/ICASSP.2014.6853733</t>
  </si>
  <si>
    <t xml:space="preserve">R1394</t>
  </si>
  <si>
    <t xml:space="preserve">Radar measurements with remote control software</t>
  </si>
  <si>
    <t xml:space="preserve">10.1109/TEMU.2016.7551909</t>
  </si>
  <si>
    <t xml:space="preserve">R1395</t>
  </si>
  <si>
    <t xml:space="preserve">Performance issues in Aircraft Access to the National Airspace SWIM program</t>
  </si>
  <si>
    <t xml:space="preserve">10.1109/ICNSurv.2014.6819982</t>
  </si>
  <si>
    <t xml:space="preserve">R1396</t>
  </si>
  <si>
    <t xml:space="preserve">SOA-based Air-Ground Information Exchange for High-assurance Operation</t>
  </si>
  <si>
    <t xml:space="preserve">10.1109/GCCE.2018.8574788</t>
  </si>
  <si>
    <t xml:space="preserve">R1397</t>
  </si>
  <si>
    <t xml:space="preserve">Analysis of operational shortfalls at non-towered airports</t>
  </si>
  <si>
    <t xml:space="preserve">10.1109/ICNSurv.2014.6819981</t>
  </si>
  <si>
    <t xml:space="preserve">R1398</t>
  </si>
  <si>
    <t xml:space="preserve">Data mining approaches for aircraft accidents prediction: An empirical study on Turkey airline</t>
  </si>
  <si>
    <t xml:space="preserve">10.1109/ICE-CCN.2013.6528602</t>
  </si>
  <si>
    <t xml:space="preserve">R1399</t>
  </si>
  <si>
    <t xml:space="preserve">A global operations picture of weather impact through collaborative decision making</t>
  </si>
  <si>
    <t xml:space="preserve">R1400</t>
  </si>
  <si>
    <t xml:space="preserve">Performance comparisons of four modified structures of log periodic three element microstrip antenna arrays</t>
  </si>
  <si>
    <t xml:space="preserve">10.1007/978-981-10-5699-4_41</t>
  </si>
  <si>
    <t xml:space="preserve">R1401</t>
  </si>
  <si>
    <t xml:space="preserve">Research of CRB based on grey-relation analysis and its application in aviation fault diagnosis</t>
  </si>
  <si>
    <t xml:space="preserve">10.2495/ICIE131182</t>
  </si>
  <si>
    <t xml:space="preserve">R1402</t>
  </si>
  <si>
    <t xml:space="preserve">Open source Patient-Controlled Analgesic pump requirements documentation</t>
  </si>
  <si>
    <t xml:space="preserve">10.1109/SEHC.2013.6602474</t>
  </si>
  <si>
    <t xml:space="preserve">R1403</t>
  </si>
  <si>
    <t xml:space="preserve">Fault tree analysis for safety/security verification in aviation software</t>
  </si>
  <si>
    <t xml:space="preserve">10.3390/electronics2010041</t>
  </si>
  <si>
    <t xml:space="preserve">R1404</t>
  </si>
  <si>
    <t xml:space="preserve">Quantitative quality indicators of the invariant spatial method of compressing video data</t>
  </si>
  <si>
    <t xml:space="preserve">10.1109/INFOCOMMST.2015.7357320</t>
  </si>
  <si>
    <t xml:space="preserve">R1405</t>
  </si>
  <si>
    <t xml:space="preserve">Standardization activities for RPAS CNPC systems</t>
  </si>
  <si>
    <t xml:space="preserve">10.1109/ICTC.2017.8190838</t>
  </si>
  <si>
    <t xml:space="preserve">R1406</t>
  </si>
  <si>
    <t xml:space="preserve">A framework to model big data driven complex cyber physical control systems</t>
  </si>
  <si>
    <t xml:space="preserve">10.1109/IConAC.2014.6935501</t>
  </si>
  <si>
    <t xml:space="preserve">R1407</t>
  </si>
  <si>
    <t xml:space="preserve">Testing Human-Autonomy Teaming Concepts on a Global Positioning System Interface</t>
  </si>
  <si>
    <t xml:space="preserve">10.1007/978-3-319-92046-7_38</t>
  </si>
  <si>
    <t xml:space="preserve">R1408</t>
  </si>
  <si>
    <t xml:space="preserve">Surveillance and data link communication performance analysis for NextGen</t>
  </si>
  <si>
    <t xml:space="preserve">10.1109/ICNSurv.2012.6218395</t>
  </si>
  <si>
    <t xml:space="preserve">R1409</t>
  </si>
  <si>
    <t xml:space="preserve">Internet protocol suite for safety services: Progress toward a validated standard</t>
  </si>
  <si>
    <t xml:space="preserve">10.1109/ICNSURV.2017.8011900</t>
  </si>
  <si>
    <t xml:space="preserve">R1410</t>
  </si>
  <si>
    <t xml:space="preserve">System of Communication, Modeling and Simulation of the Radar System at the Mariscal Lamar Airport in the City of Cuenca-Ecuador</t>
  </si>
  <si>
    <t xml:space="preserve">10.1109/ANDESCON.2018.8564675</t>
  </si>
  <si>
    <t xml:space="preserve">R1411</t>
  </si>
  <si>
    <t xml:space="preserve">Wireless communication in aviation through the Internet of Things and RFID</t>
  </si>
  <si>
    <t xml:space="preserve">10.1109/EIT.2014.6871833</t>
  </si>
  <si>
    <t xml:space="preserve">R1412</t>
  </si>
  <si>
    <t xml:space="preserve">Mobile application based traffic advisory system for general aviation - Is it possible?</t>
  </si>
  <si>
    <t xml:space="preserve">10.1109/RTUWO.2015.7365741</t>
  </si>
  <si>
    <t xml:space="preserve">R1413</t>
  </si>
  <si>
    <t xml:space="preserve">Future communication solution paths for commercial, personal, and unmanned aviation</t>
  </si>
  <si>
    <t xml:space="preserve">10.1109/ICNSurv.2014.6820036</t>
  </si>
  <si>
    <t xml:space="preserve">R1414</t>
  </si>
  <si>
    <t xml:space="preserve">Decision support system for in-flight emergency events</t>
  </si>
  <si>
    <t xml:space="preserve">10.1007/s10111-018-0466-2</t>
  </si>
  <si>
    <t xml:space="preserve">R1415</t>
  </si>
  <si>
    <t xml:space="preserve">Aircraft access to SWIM: ATM via DTM</t>
  </si>
  <si>
    <t xml:space="preserve">R1416</t>
  </si>
  <si>
    <t xml:space="preserve">A New Mathematics Method for Structural Health Monitoring's Damage Detection Based on WSNs</t>
  </si>
  <si>
    <t xml:space="preserve">10.1109/CCITSA.2015.48</t>
  </si>
  <si>
    <t xml:space="preserve">R1417</t>
  </si>
  <si>
    <t xml:space="preserve">The tempest unmanned aircraft system for in situ observations of tornadic supercells: Design and VORTEX2 flight results</t>
  </si>
  <si>
    <t xml:space="preserve">10.1002/rob.20394</t>
  </si>
  <si>
    <t xml:space="preserve">R1420</t>
  </si>
  <si>
    <t xml:space="preserve">Air/ground System Wide Information Management: Concept demonstration and lessons learned</t>
  </si>
  <si>
    <t xml:space="preserve">10.1109/ICNSURV.2017.8011902</t>
  </si>
  <si>
    <t xml:space="preserve">R1421</t>
  </si>
  <si>
    <t xml:space="preserve">Requirements for an integrated UAS CNS architecture</t>
  </si>
  <si>
    <t xml:space="preserve">10.1109/ICNSURV.2017.8011909</t>
  </si>
  <si>
    <t xml:space="preserve">R1422</t>
  </si>
  <si>
    <t xml:space="preserve">Interacting multiple model and probabilistic data association filter on radar tracking for ATM system</t>
  </si>
  <si>
    <t xml:space="preserve">R1424</t>
  </si>
  <si>
    <t xml:space="preserve">Hazard avoidance auto control system for a robotic vehicle</t>
  </si>
  <si>
    <t xml:space="preserve">R1425</t>
  </si>
  <si>
    <t xml:space="preserve">The aniketos design-time framework applied-a case in air traffic management</t>
  </si>
  <si>
    <t xml:space="preserve">10.1007/978-3-319-13518-2_14</t>
  </si>
  <si>
    <t xml:space="preserve">R1426</t>
  </si>
  <si>
    <t xml:space="preserve">EDIT your emergency: Communication preparedness using emergency description information technology</t>
  </si>
  <si>
    <t xml:space="preserve">R1427</t>
  </si>
  <si>
    <t xml:space="preserve">Wide area multilateration evaluation test bed using USRP based ADS-B receiver</t>
  </si>
  <si>
    <t xml:space="preserve">R1428</t>
  </si>
  <si>
    <t xml:space="preserve">Conceptual features of application of facilities of adaptive filtration are in the tasks of authentication of noise of communication channels</t>
  </si>
  <si>
    <t xml:space="preserve">R1429</t>
  </si>
  <si>
    <t xml:space="preserve">                         High-Performance Computing (HPC) and Machine Learning Demonstrated in Flight Using Agile Condor                         ®                     </t>
  </si>
  <si>
    <t xml:space="preserve">10.1109/HPEC.2018.8547797</t>
  </si>
  <si>
    <t xml:space="preserve">R1430</t>
  </si>
  <si>
    <t xml:space="preserve">Experimental demonstration of non-line-of-sight ultraviolet communication channel characteristics</t>
  </si>
  <si>
    <t xml:space="preserve">10.1117/12.860064</t>
  </si>
  <si>
    <t xml:space="preserve">R1431</t>
  </si>
  <si>
    <t xml:space="preserve">Crew resource management for automated teammates (CRM-A)</t>
  </si>
  <si>
    <t xml:space="preserve">10.1007/978-3-319-91122-9_19</t>
  </si>
  <si>
    <t xml:space="preserve">R1432</t>
  </si>
  <si>
    <t xml:space="preserve">An improved block CFO estimation algorithm based on zadoff-chu pilot sequence for LDACS in UAV channel</t>
  </si>
  <si>
    <t xml:space="preserve">10.1109/ICEIEC.2017.8076501</t>
  </si>
  <si>
    <t xml:space="preserve">R1433</t>
  </si>
  <si>
    <t xml:space="preserve">Maintenance of transmission line by using robot</t>
  </si>
  <si>
    <t xml:space="preserve">10.1109/ICACDOT.2016.7877643</t>
  </si>
  <si>
    <t xml:space="preserve">R1434</t>
  </si>
  <si>
    <t xml:space="preserve">System for monitoring external pilot emotional state during UAV control</t>
  </si>
  <si>
    <t xml:space="preserve">10.1109/APUAVD.2015.7346634</t>
  </si>
  <si>
    <t xml:space="preserve">R1435</t>
  </si>
  <si>
    <t xml:space="preserve">Validating the FACTS2 air traffic simulation framework</t>
  </si>
  <si>
    <t xml:space="preserve">10.1109/ICNSURV.2017.8011893</t>
  </si>
  <si>
    <t xml:space="preserve">R1436</t>
  </si>
  <si>
    <t xml:space="preserve">Realisation of a bilaterally teleoperated robotic vehicle platform with passivity control</t>
  </si>
  <si>
    <t xml:space="preserve">10.1049/iet-cta.2010.0265</t>
  </si>
  <si>
    <t xml:space="preserve">R1437</t>
  </si>
  <si>
    <t xml:space="preserve">The closed runway operation prevention device: Applying automatic speech recognition technology for aviation safety</t>
  </si>
  <si>
    <t xml:space="preserve">R1438</t>
  </si>
  <si>
    <t xml:space="preserve">EUROCAE WG-67 standards for voice-over-IP in ATM for advanced nextgen conops</t>
  </si>
  <si>
    <t xml:space="preserve">10.1109/ICNSURV.2010.5503299</t>
  </si>
  <si>
    <t xml:space="preserve">R1439</t>
  </si>
  <si>
    <t xml:space="preserve">On the usage of a dedicated data link layer and half duplex terminals in satellite systems for future air traffic management</t>
  </si>
  <si>
    <t xml:space="preserve">10.2514/6.2010-8853</t>
  </si>
  <si>
    <t xml:space="preserve">R1440</t>
  </si>
  <si>
    <t xml:space="preserve">FSFI: A full system simulator-based fault injection tool</t>
  </si>
  <si>
    <t xml:space="preserve">10.1109/IMCCC.2011.88</t>
  </si>
  <si>
    <t xml:space="preserve">R1441</t>
  </si>
  <si>
    <t xml:space="preserve">The regulation of civilian drones' impacts on public safety</t>
  </si>
  <si>
    <t xml:space="preserve">10.1016/j.clsr.2014.03.007</t>
  </si>
  <si>
    <t xml:space="preserve">R1442</t>
  </si>
  <si>
    <t xml:space="preserve">Verification of interactive automated air traffic control system in a model driven approach</t>
  </si>
  <si>
    <t xml:space="preserve">10.1109/IC3I.2016.7918799</t>
  </si>
  <si>
    <t xml:space="preserve">R1443</t>
  </si>
  <si>
    <t xml:space="preserve">Using ionospheric imaging combined with feature tracking to automate identification and tracking of polar-cap plasma patches</t>
  </si>
  <si>
    <t xml:space="preserve">R1444</t>
  </si>
  <si>
    <t xml:space="preserve">Addressing the low-altitude airspace integration challenge - USS or UTM core?</t>
  </si>
  <si>
    <t xml:space="preserve">10.1109/ICNSURV.2018.8384848</t>
  </si>
  <si>
    <t xml:space="preserve">R1445</t>
  </si>
  <si>
    <t xml:space="preserve">Study of co-channel cross-layer interference for the downlink communication in femtocell networks</t>
  </si>
  <si>
    <t xml:space="preserve">10.1109/ISSCS.2011.5978657</t>
  </si>
  <si>
    <t xml:space="preserve">R1448</t>
  </si>
  <si>
    <t xml:space="preserve">A smartphone app for teenagers: Ubiquizzous learning at the german museum of technology</t>
  </si>
  <si>
    <t xml:space="preserve">R1449</t>
  </si>
  <si>
    <t xml:space="preserve">FlashLight: Optical communication between mobile phones and interactive tabletops</t>
  </si>
  <si>
    <t xml:space="preserve">10.1145/1936652.1936679</t>
  </si>
  <si>
    <t xml:space="preserve">R1451</t>
  </si>
  <si>
    <t xml:space="preserve">Finding precursors to anomalous drop in airspeed during a flight's takeoff</t>
  </si>
  <si>
    <t xml:space="preserve">10.1145/3097983.3098097</t>
  </si>
  <si>
    <t xml:space="preserve">R1452</t>
  </si>
  <si>
    <t xml:space="preserve">Multi-constellation dual-frequency SBAS</t>
  </si>
  <si>
    <t xml:space="preserve">R1454</t>
  </si>
  <si>
    <t xml:space="preserve">Terrestrial mobile networks for Air-to-Ground communications of the General Aviation</t>
  </si>
  <si>
    <t xml:space="preserve">10.1109/WCSP.2011.6096861</t>
  </si>
  <si>
    <t xml:space="preserve">R1455</t>
  </si>
  <si>
    <t xml:space="preserve">Universal on-chip communication channel</t>
  </si>
  <si>
    <t xml:space="preserve">10.1109/CADS.2010.5623547</t>
  </si>
  <si>
    <t xml:space="preserve">R1456</t>
  </si>
  <si>
    <t xml:space="preserve">A Comparison of AFDX and 1553B Protocols Using Formal Verification</t>
  </si>
  <si>
    <t xml:space="preserve">10.1109/ICACCI.2018.8554434</t>
  </si>
  <si>
    <t xml:space="preserve">R1457</t>
  </si>
  <si>
    <t xml:space="preserve">Design and realization of acquisition and excitation system based on USB bus</t>
  </si>
  <si>
    <t xml:space="preserve">10.1109/ECTICon.2015.7206962</t>
  </si>
  <si>
    <t xml:space="preserve">R1458</t>
  </si>
  <si>
    <t xml:space="preserve">A realization of integrated Satellite-Terrestrial communication networks for aeronautical services via joint radio resource management</t>
  </si>
  <si>
    <t xml:space="preserve">10.1007/978-3-319-02762-3_3</t>
  </si>
  <si>
    <t xml:space="preserve">R1459</t>
  </si>
  <si>
    <t xml:space="preserve">Collaborative design optimization with simulation process and data management</t>
  </si>
  <si>
    <t xml:space="preserve">10.2514/6.2019-3110</t>
  </si>
  <si>
    <t xml:space="preserve">R1460</t>
  </si>
  <si>
    <t xml:space="preserve">Artificial immune wireless intelligent sensor and actuator network (WISAN) for more electrical aircraft performance monitoring system (Study case: 80 Passenger aircraft)</t>
  </si>
  <si>
    <t xml:space="preserve">10.1109/ICWT.2015.7449217</t>
  </si>
  <si>
    <t xml:space="preserve">R1462</t>
  </si>
  <si>
    <t xml:space="preserve">Automated ATM System Enabling 4DT-Based Operations</t>
  </si>
  <si>
    <t xml:space="preserve">10.4271/2015-01-2539</t>
  </si>
  <si>
    <t xml:space="preserve">R1463</t>
  </si>
  <si>
    <t xml:space="preserve">Voice communications solution for UAS integration in the NAS</t>
  </si>
  <si>
    <t xml:space="preserve">R1464</t>
  </si>
  <si>
    <t xml:space="preserve">Time domain passivity control for position-position teleoperation architectures</t>
  </si>
  <si>
    <t xml:space="preserve">10.1162/pres_a_00013</t>
  </si>
  <si>
    <t xml:space="preserve">R1465</t>
  </si>
  <si>
    <t xml:space="preserve">Enhanced Genetic Algorithm for MC/DC test data generation</t>
  </si>
  <si>
    <t xml:space="preserve">10.1109/INISTA.2015.7276794</t>
  </si>
  <si>
    <t xml:space="preserve">R1466</t>
  </si>
  <si>
    <t xml:space="preserve">A review on hand gesture recognition system</t>
  </si>
  <si>
    <t xml:space="preserve">10.1109/ICCUBEA.2015.158</t>
  </si>
  <si>
    <t xml:space="preserve">R1467</t>
  </si>
  <si>
    <t xml:space="preserve">Aviation Transportation, Cyber Threats, and Network-of-Networks: Modeling Perspectives for Translating Theory to Practice</t>
  </si>
  <si>
    <t xml:space="preserve">10.1109/THS.2018.8574123</t>
  </si>
  <si>
    <t xml:space="preserve">R1468</t>
  </si>
  <si>
    <t xml:space="preserve">Design and implementation of a flight delay intelligent prediction system based on GOODM platform</t>
  </si>
  <si>
    <t xml:space="preserve">R1469</t>
  </si>
  <si>
    <t xml:space="preserve">Predicting solar flares by converting GOES X-ray data to Gramian Angular Fields (GAF) images</t>
  </si>
  <si>
    <t xml:space="preserve">R1470</t>
  </si>
  <si>
    <t xml:space="preserve">The need for a robust precise time and frequency alternative to global navigation satellite systems</t>
  </si>
  <si>
    <t xml:space="preserve">R1471</t>
  </si>
  <si>
    <t xml:space="preserve">Flight deck workload and acceptability of verbal and digital communication protocols</t>
  </si>
  <si>
    <t xml:space="preserve">10.1007/978-3-642-21669-5_55</t>
  </si>
  <si>
    <t xml:space="preserve">R1472</t>
  </si>
  <si>
    <t xml:space="preserve">An XML Datalink Message Exchange Model (DMXM) for command and control data sharing</t>
  </si>
  <si>
    <t xml:space="preserve">10.1109/ICNSURV.2017.8011910</t>
  </si>
  <si>
    <t xml:space="preserve">R1473</t>
  </si>
  <si>
    <t xml:space="preserve">Mathematical Model of MIMO</t>
  </si>
  <si>
    <t xml:space="preserve">10.1109/INFOCOMMST.2018.8632163</t>
  </si>
  <si>
    <t xml:space="preserve">R1474</t>
  </si>
  <si>
    <t xml:space="preserve">Datalink end-to-end system performance analysis methodology</t>
  </si>
  <si>
    <t xml:space="preserve">10.1109/ICNSurv.2014.6820003</t>
  </si>
  <si>
    <t xml:space="preserve">R1475</t>
  </si>
  <si>
    <t xml:space="preserve">Research on relations between software network structure and fault propagation</t>
  </si>
  <si>
    <t xml:space="preserve">10.1109/SATE.2016.18</t>
  </si>
  <si>
    <t xml:space="preserve">R1477</t>
  </si>
  <si>
    <t xml:space="preserve">A new RFID middleware architecture design</t>
  </si>
  <si>
    <t xml:space="preserve">10.1109/ICCAE.2010.5451553</t>
  </si>
  <si>
    <t xml:space="preserve">R1478</t>
  </si>
  <si>
    <t xml:space="preserve">Prospects and challenges of building capacity for space science and technology development in Africa</t>
  </si>
  <si>
    <t xml:space="preserve">R1479</t>
  </si>
  <si>
    <t xml:space="preserve">Channel dependability of the ATM communication network based on the multilevel distributed cloud technology</t>
  </si>
  <si>
    <t xml:space="preserve">10.1007/978-3-319-67642-5_49</t>
  </si>
  <si>
    <t xml:space="preserve">R1480</t>
  </si>
  <si>
    <t xml:space="preserve">Surveillance system performance and possible paths forward for small UAS</t>
  </si>
  <si>
    <t xml:space="preserve">R1481</t>
  </si>
  <si>
    <t xml:space="preserve">SDR-based ADS-B with dual-frequency for UAS: A universal design</t>
  </si>
  <si>
    <t xml:space="preserve">10.1109/CIT/IUCC/DASC/PICOM.2015.12</t>
  </si>
  <si>
    <t xml:space="preserve">R1482</t>
  </si>
  <si>
    <t xml:space="preserve">Design and development considerations for collegiate degree programs specializing in unmanned systems training</t>
  </si>
  <si>
    <t xml:space="preserve">R1484</t>
  </si>
  <si>
    <t xml:space="preserve">Analysis of aviation networks structure based on complex networks theory</t>
  </si>
  <si>
    <t xml:space="preserve">10.1109/IMCCC.2012.49</t>
  </si>
  <si>
    <t xml:space="preserve">R1485</t>
  </si>
  <si>
    <t xml:space="preserve">In god we trust all others we monitor</t>
  </si>
  <si>
    <t xml:space="preserve">10.1145/1866307.1866381</t>
  </si>
  <si>
    <t xml:space="preserve">R1487</t>
  </si>
  <si>
    <t xml:space="preserve">Automated test artifact generation for a distributed avionics platform utilizing abstract state machines</t>
  </si>
  <si>
    <t xml:space="preserve">10.1109/AUTEST.2017.8080500</t>
  </si>
  <si>
    <t xml:space="preserve">R1488</t>
  </si>
  <si>
    <t xml:space="preserve">F-35 high angle of attack flight control development and flight test results</t>
  </si>
  <si>
    <t xml:space="preserve">10.2514/6.2019-3227</t>
  </si>
  <si>
    <t xml:space="preserve">R1489</t>
  </si>
  <si>
    <t xml:space="preserve">Beam queuing for aeronautical free space optical networks</t>
  </si>
  <si>
    <t xml:space="preserve">10.1117/12.859423</t>
  </si>
  <si>
    <t xml:space="preserve">R1490</t>
  </si>
  <si>
    <t xml:space="preserve">Aviation Multicarrier Communication System Performance in Several 5 GHz Band Air-Ground Channels - Invited Paper</t>
  </si>
  <si>
    <t xml:space="preserve">10.1109/VTCSpring.2018.8417477</t>
  </si>
  <si>
    <t xml:space="preserve">R1491</t>
  </si>
  <si>
    <t xml:space="preserve">Detection, locationand mitigation of GNSS interference</t>
  </si>
  <si>
    <t xml:space="preserve">R1492</t>
  </si>
  <si>
    <t xml:space="preserve">Performance comparison of transformed-domain techniques for pulsed interference mitigation</t>
  </si>
  <si>
    <t xml:space="preserve">R1493</t>
  </si>
  <si>
    <t xml:space="preserve">SWIM segment 2 deployment and utilization in NextGen R&amp;D programs</t>
  </si>
  <si>
    <t xml:space="preserve">10.1109/ICNSurv.2012.6218405</t>
  </si>
  <si>
    <t xml:space="preserve">R1494</t>
  </si>
  <si>
    <t xml:space="preserve">Investigation of a patch antenna based on I-shaped left-handed material</t>
  </si>
  <si>
    <t xml:space="preserve">10.1007/978-3-642-23753-9_52</t>
  </si>
  <si>
    <t xml:space="preserve">R1495</t>
  </si>
  <si>
    <t xml:space="preserve">The research and implementation of error injection card of fibre channel</t>
  </si>
  <si>
    <t xml:space="preserve">10.2495/ICCT131081</t>
  </si>
  <si>
    <t xml:space="preserve">R1496</t>
  </si>
  <si>
    <t xml:space="preserve">Handling communication disruptions in distributed model predictive control</t>
  </si>
  <si>
    <t xml:space="preserve">10.1016/j.jprocont.2010.11.005</t>
  </si>
  <si>
    <t xml:space="preserve">R1497</t>
  </si>
  <si>
    <t xml:space="preserve">Concept of measurement for en-route sector capacity</t>
  </si>
  <si>
    <t xml:space="preserve">10.1587/transcom.E94.B.3195</t>
  </si>
  <si>
    <t xml:space="preserve">R1498</t>
  </si>
  <si>
    <t xml:space="preserve">Analysis on the integrity simulation of dual-frequency WAAS</t>
  </si>
  <si>
    <t xml:space="preserve">10.1109/IAEAC.2017.8054383</t>
  </si>
  <si>
    <t xml:space="preserve">R1499</t>
  </si>
  <si>
    <t xml:space="preserve">Ionospheric prediction over equatorial and non-equatorial regions using GNSS data</t>
  </si>
  <si>
    <t xml:space="preserve">R1500</t>
  </si>
  <si>
    <t xml:space="preserve">Sustainable air traffic management system development methodology</t>
  </si>
  <si>
    <t xml:space="preserve">R1501</t>
  </si>
  <si>
    <t xml:space="preserve">Carrier sensing based multiple access protocols for cognitive radio networks</t>
  </si>
  <si>
    <t xml:space="preserve">10.1109/ICC.2008.604</t>
  </si>
  <si>
    <t xml:space="preserve">R1502</t>
  </si>
  <si>
    <t xml:space="preserve">An atmospheric turbulence, scattering, and weather monitoring system for three kilometers, partially over water path for monitoring the statistics of turbulence</t>
  </si>
  <si>
    <t xml:space="preserve">10.1117/12.821664</t>
  </si>
  <si>
    <t xml:space="preserve">R1503</t>
  </si>
  <si>
    <t xml:space="preserve">Emergency response framework for aviation XML services on MANET</t>
  </si>
  <si>
    <t xml:space="preserve">10.1109/ICWS.2008.24</t>
  </si>
  <si>
    <t xml:space="preserve">R1504</t>
  </si>
  <si>
    <t xml:space="preserve">Extending the Evolutionary Robotics approach to flying machines: An application to MAV teams</t>
  </si>
  <si>
    <t xml:space="preserve">10.1016/j.neunet.2009.06.032</t>
  </si>
  <si>
    <t xml:space="preserve">R1505</t>
  </si>
  <si>
    <t xml:space="preserve">Practical algorithms for soft-demapping of dual-carrier modulated symbols</t>
  </si>
  <si>
    <t xml:space="preserve">10.1109/ICCS.2006.301495</t>
  </si>
  <si>
    <t xml:space="preserve">R1506</t>
  </si>
  <si>
    <t xml:space="preserve">Aviation mashups</t>
  </si>
  <si>
    <t xml:space="preserve">10.1109/ICNSURV.2009.5172823</t>
  </si>
  <si>
    <t xml:space="preserve">R1507</t>
  </si>
  <si>
    <t xml:space="preserve">Double differential modulation for decode-and-forward cooperative communications</t>
  </si>
  <si>
    <t xml:space="preserve">10.1109/ICSPC.2007.4728251</t>
  </si>
  <si>
    <t xml:space="preserve">R1508</t>
  </si>
  <si>
    <t xml:space="preserve">Data-link and surface map traffic intent displays for nextGen 4DT and equivalent visual surface operations</t>
  </si>
  <si>
    <t xml:space="preserve">10.1117/12.818640</t>
  </si>
  <si>
    <t xml:space="preserve">R1509</t>
  </si>
  <si>
    <t xml:space="preserve">Data-carrier aided carrier frequency offset estimation for OFDM systems</t>
  </si>
  <si>
    <t xml:space="preserve">10.1109/VETECS.2008.194</t>
  </si>
  <si>
    <t xml:space="preserve">R1510</t>
  </si>
  <si>
    <t xml:space="preserve">Iterative receiver for single carrier cyclic prefix assisted block transmission systems</t>
  </si>
  <si>
    <t xml:space="preserve">10.1109/ICASSP.2008.4518327</t>
  </si>
  <si>
    <t xml:space="preserve">R1511</t>
  </si>
  <si>
    <t xml:space="preserve">Dependable and certifiable real-world systems - Issue of software engineering education</t>
  </si>
  <si>
    <t xml:space="preserve">R1512</t>
  </si>
  <si>
    <t xml:space="preserve">A host/co-processor FPGA-based architecture for fast image processing</t>
  </si>
  <si>
    <t xml:space="preserve">10.1109/IDAACS.2007.4488442</t>
  </si>
  <si>
    <t xml:space="preserve">R1513</t>
  </si>
  <si>
    <t xml:space="preserve">An intelligent genetic algorithm for PAPR reduction in a multi-carrier CDMA wireless system</t>
  </si>
  <si>
    <t xml:space="preserve">10.1109/IWCMC.2008.183</t>
  </si>
  <si>
    <t xml:space="preserve">R1514</t>
  </si>
  <si>
    <t xml:space="preserve">Pilot structures for the uplink single carrier FDMA transmission systems</t>
  </si>
  <si>
    <t xml:space="preserve">10.1109/VETECS.2008.561</t>
  </si>
  <si>
    <t xml:space="preserve">R1515</t>
  </si>
  <si>
    <t xml:space="preserve">A wireless based sensor for patient monitoring system with remote diagnostic</t>
  </si>
  <si>
    <t xml:space="preserve">10.1109/ICNS.2007.24</t>
  </si>
  <si>
    <t xml:space="preserve">R1516</t>
  </si>
  <si>
    <t xml:space="preserve">Blind identification of distributed antenna systems with multiple carrier frequency offsets</t>
  </si>
  <si>
    <t xml:space="preserve">R1517</t>
  </si>
  <si>
    <t xml:space="preserve">Safety requirements for Unmanned Aerial Vehicles (UAV) in future civil airspace</t>
  </si>
  <si>
    <t xml:space="preserve">10.1109/plans.2006.1650724</t>
  </si>
  <si>
    <t xml:space="preserve">R1518</t>
  </si>
  <si>
    <t xml:space="preserve">Exact analysis of different detector algorithms for NDA carrier phase recovery of 16-APSK signals</t>
  </si>
  <si>
    <t xml:space="preserve">10.1109/IWSSC.2007.4409389</t>
  </si>
  <si>
    <t xml:space="preserve">R1519</t>
  </si>
  <si>
    <t xml:space="preserve">Migration from ACARS to new VHF data link in China</t>
  </si>
  <si>
    <t xml:space="preserve">10.1109/ITST.2006.288885</t>
  </si>
  <si>
    <t xml:space="preserve">R1520</t>
  </si>
  <si>
    <t xml:space="preserve">Cost-effective optical modulation depth enhancement and optical carrier recovery in millimeter-wave fiber-wireless links using an all-fiber optical interleaver</t>
  </si>
  <si>
    <t xml:space="preserve">10.1109/MWP.2006.346574</t>
  </si>
  <si>
    <t xml:space="preserve">R1521</t>
  </si>
  <si>
    <t xml:space="preserve">Performance assessment of a local area monitoring system in Asia Pacific region</t>
  </si>
  <si>
    <t xml:space="preserve">R1522</t>
  </si>
  <si>
    <t xml:space="preserve">Channel capacity evaluation of single antenna interference cancellation for single carrier transmission systems</t>
  </si>
  <si>
    <t xml:space="preserve">10.1109/IWCMC.2008.39</t>
  </si>
  <si>
    <t xml:space="preserve">R1523</t>
  </si>
  <si>
    <t xml:space="preserve">On-chip code tracking for multi-carrier multiple access system</t>
  </si>
  <si>
    <t xml:space="preserve">10.1109/ADCOM.2006.4289937</t>
  </si>
  <si>
    <t xml:space="preserve">R1524</t>
  </si>
  <si>
    <t xml:space="preserve">High performance 1553</t>
  </si>
  <si>
    <t xml:space="preserve">10.1117/12.604911</t>
  </si>
  <si>
    <t xml:space="preserve">R1525</t>
  </si>
  <si>
    <t xml:space="preserve">Communication-based modelling and inspection in critical systems</t>
  </si>
  <si>
    <t xml:space="preserve">R1526</t>
  </si>
  <si>
    <t xml:space="preserve">Single-carrier HARQ using Joint THP and FDE</t>
  </si>
  <si>
    <t xml:space="preserve">10.1109/VETECF.2007.256</t>
  </si>
  <si>
    <t xml:space="preserve">R1527</t>
  </si>
  <si>
    <t xml:space="preserve">Modulation classification in multipath environments using deterministic particle filtering</t>
  </si>
  <si>
    <t xml:space="preserve">10.1109/DSP.2009.4785937</t>
  </si>
  <si>
    <t xml:space="preserve">R1528</t>
  </si>
  <si>
    <t xml:space="preserve">A distributed power and rate control scheme for mobile ad hoc networks</t>
  </si>
  <si>
    <t xml:space="preserve">10.1109/WIOPT.2008.4586087</t>
  </si>
  <si>
    <t xml:space="preserve">R1529</t>
  </si>
  <si>
    <t xml:space="preserve">A simple ICI mitigation method for a space-frequency coded cooperative communication system with multiple CFOs</t>
  </si>
  <si>
    <t xml:space="preserve">10.1109/ICASSP.2008.4518344</t>
  </si>
  <si>
    <t xml:space="preserve">R1530</t>
  </si>
  <si>
    <t xml:space="preserve">Time-slotted round-trip carrier synchronization for distributed beamforming</t>
  </si>
  <si>
    <t xml:space="preserve">10.1109/TSP.2008.927073</t>
  </si>
  <si>
    <t xml:space="preserve">R1531</t>
  </si>
  <si>
    <t xml:space="preserve">A connectionist approach to thunderstorm forecasting</t>
  </si>
  <si>
    <t xml:space="preserve">10.1109/nafips.2004.1336302</t>
  </si>
  <si>
    <t xml:space="preserve">R1532</t>
  </si>
  <si>
    <t xml:space="preserve">On the characterization of cochannel interference in an aeronautical mobile environment</t>
  </si>
  <si>
    <t xml:space="preserve">10.1109/TVT.2007.891440</t>
  </si>
  <si>
    <t xml:space="preserve">R1533</t>
  </si>
  <si>
    <t xml:space="preserve">Simulation and implementation of wavelet packet multi-carrier modulation technique</t>
  </si>
  <si>
    <t xml:space="preserve">10.1109/WiCom.2008.387</t>
  </si>
  <si>
    <t xml:space="preserve">R1534</t>
  </si>
  <si>
    <t xml:space="preserve">Virtual Concept Use in the Construction Industry</t>
  </si>
  <si>
    <t xml:space="preserve">10.4018/978-1-59904-943-4.ch065</t>
  </si>
  <si>
    <t xml:space="preserve">R1535</t>
  </si>
  <si>
    <t xml:space="preserve">Implementation and analysis of broadband OFDM high-rate data interface to aviation bus</t>
  </si>
  <si>
    <t xml:space="preserve">10.1109/ICCT.2008.4716189</t>
  </si>
  <si>
    <t xml:space="preserve">R1536</t>
  </si>
  <si>
    <t xml:space="preserve">Multi-user multi-service random access and channel assignment for mm wavelength uplink broadband wireless system</t>
  </si>
  <si>
    <t xml:space="preserve">10.1109/NGMAST.2007.4343437</t>
  </si>
  <si>
    <t xml:space="preserve">R1537</t>
  </si>
  <si>
    <t xml:space="preserve">A rapid joint semi-blind estimation algorithm for carrier phase and timing parameter</t>
  </si>
  <si>
    <t xml:space="preserve">10.1109/SSD.2008.4632808</t>
  </si>
  <si>
    <t xml:space="preserve">R1538</t>
  </si>
  <si>
    <t xml:space="preserve">Cross-layer random access and channel assignment for uplink broadband wireless system</t>
  </si>
  <si>
    <t xml:space="preserve">10.1109/VETECS.2008.380</t>
  </si>
  <si>
    <t xml:space="preserve">R1539</t>
  </si>
  <si>
    <t xml:space="preserve">Resource allocation for OFDM broadcast channels allowing user-wise coding</t>
  </si>
  <si>
    <t xml:space="preserve">10.1109/ISWCS.2006.4362325</t>
  </si>
  <si>
    <t xml:space="preserve">R1540</t>
  </si>
  <si>
    <t xml:space="preserve">Cochannel interference cancellation using optimized joint equalization</t>
  </si>
  <si>
    <t xml:space="preserve">10.1109/ICTMICC.2007.4448679</t>
  </si>
  <si>
    <t xml:space="preserve">R1541</t>
  </si>
  <si>
    <t xml:space="preserve">A 7mA-1.8V, 2MHz GFSK analog demodulator with 1Mbps data rate</t>
  </si>
  <si>
    <t xml:space="preserve">10.1109/ASSCC.2007.4425737</t>
  </si>
  <si>
    <t xml:space="preserve">R1542</t>
  </si>
  <si>
    <t xml:space="preserve">A new data-aided carrier frequency offset estimation algorithm for OFDM systems</t>
  </si>
  <si>
    <t xml:space="preserve">10.1109/SPAWC.2006.346457</t>
  </si>
  <si>
    <t xml:space="preserve">R1543</t>
  </si>
  <si>
    <t xml:space="preserve">EATS: An agent-based air traffic simulator</t>
  </si>
  <si>
    <t xml:space="preserve">R1544</t>
  </si>
  <si>
    <t xml:space="preserve">A novel stubs-tuned planar resonator based low noise signal source for wireless communication systems</t>
  </si>
  <si>
    <t xml:space="preserve">10.1109/CCECE.2007.372</t>
  </si>
  <si>
    <t xml:space="preserve">R1545</t>
  </si>
  <si>
    <t xml:space="preserve">Improving information exchange supporting national security in the maritime and airspace domains</t>
  </si>
  <si>
    <t xml:space="preserve">10.1109/ICNSURV.2009.5172848</t>
  </si>
  <si>
    <t xml:space="preserve">R1546</t>
  </si>
  <si>
    <t xml:space="preserve">GSM/GPRS signal strength measurements in aircraft flights under 3,000 meters of altitude</t>
  </si>
  <si>
    <t xml:space="preserve">R1547</t>
  </si>
  <si>
    <t xml:space="preserve">A proposal of high-flexibility short-range cognitive radio system</t>
  </si>
  <si>
    <t xml:space="preserve">10.1109/ISSSE.2007.4294422</t>
  </si>
  <si>
    <t xml:space="preserve">R1548</t>
  </si>
  <si>
    <t xml:space="preserve">Design and simulation for a reformative transform domain communication system</t>
  </si>
  <si>
    <t xml:space="preserve">10.1109/WICOM.2009.5302689</t>
  </si>
  <si>
    <t xml:space="preserve">R1549</t>
  </si>
  <si>
    <t xml:space="preserve">Minimizing end-to-end delay in global HAHA networks considering aeronautical scenarios</t>
  </si>
  <si>
    <t xml:space="preserve">10.1145/1641776.1641784</t>
  </si>
  <si>
    <t xml:space="preserve">R1550</t>
  </si>
  <si>
    <t xml:space="preserve">Methods for compression of feedback in adaptive multi-carrier 4G schemes</t>
  </si>
  <si>
    <t xml:space="preserve">10.1007/s11277-007-9394-9</t>
  </si>
  <si>
    <t xml:space="preserve">R1551</t>
  </si>
  <si>
    <t xml:space="preserve">Towards trusted broadcast encryption</t>
  </si>
  <si>
    <t xml:space="preserve">10.1109/ICYCS.2008.499</t>
  </si>
  <si>
    <t xml:space="preserve">R1552</t>
  </si>
  <si>
    <t xml:space="preserve">Carrier-wave telephony over power lines: Early history</t>
  </si>
  <si>
    <t xml:space="preserve">10.1109/MCOM.2009.4752669</t>
  </si>
  <si>
    <t xml:space="preserve">R1553</t>
  </si>
  <si>
    <t xml:space="preserve">Best practices in shift turnovers: Implications for reducing aviation maintenance turnover errors as revealed in ASRS reports</t>
  </si>
  <si>
    <t xml:space="preserve">10.1080/10508410701749464</t>
  </si>
  <si>
    <t xml:space="preserve">R1554</t>
  </si>
  <si>
    <t xml:space="preserve">Weather data processing: Display of aviation weather</t>
  </si>
  <si>
    <t xml:space="preserve">10.1109/ICNSURV.2008.4559187</t>
  </si>
  <si>
    <t xml:space="preserve">R1555</t>
  </si>
  <si>
    <t xml:space="preserve">A carrier grade peer-to-peer network architecture</t>
  </si>
  <si>
    <t xml:space="preserve">10.1109/KINGN.2008.4542277</t>
  </si>
  <si>
    <t xml:space="preserve">R1556</t>
  </si>
  <si>
    <t xml:space="preserve">The martini synch: Device pairing via joint quantization</t>
  </si>
  <si>
    <t xml:space="preserve">10.1109/ISIT.2007.4557269</t>
  </si>
  <si>
    <t xml:space="preserve">R1557</t>
  </si>
  <si>
    <t xml:space="preserve">Signal detection in a cooperative communication system with multiple CFOs by exploiting the properties of space-frequency codes</t>
  </si>
  <si>
    <t xml:space="preserve">10.1109/ICC.2008.858</t>
  </si>
  <si>
    <t xml:space="preserve">R1558</t>
  </si>
  <si>
    <t xml:space="preserve">Joint carrier and clock offset compensation in a mobile 802.16E OFDMA communication system</t>
  </si>
  <si>
    <t xml:space="preserve">10.1109/SCVT.2006.334372</t>
  </si>
  <si>
    <t xml:space="preserve">R1559</t>
  </si>
  <si>
    <t xml:space="preserve">ML estimation of non-virtual sub-carriers OFDM carrier frequency offset</t>
  </si>
  <si>
    <t xml:space="preserve">10.1109/MCWC.2006.4375215</t>
  </si>
  <si>
    <t xml:space="preserve">R1560</t>
  </si>
  <si>
    <t xml:space="preserve">Analysis of GPS monitor station outages</t>
  </si>
  <si>
    <t xml:space="preserve">R1561</t>
  </si>
  <si>
    <t xml:space="preserve">Assessment on low complexity C/No estimators based on M-PSK signal model for GNSS receivers</t>
  </si>
  <si>
    <t xml:space="preserve">10.1109/PLANS.2008.4570086</t>
  </si>
  <si>
    <t xml:space="preserve">R1562</t>
  </si>
  <si>
    <t xml:space="preserve">Perceptual coding of haptic data in Time-Delayed teleoperation</t>
  </si>
  <si>
    <t xml:space="preserve">10.1109/WHC.2009.4810811</t>
  </si>
  <si>
    <t xml:space="preserve">R1563</t>
  </si>
  <si>
    <t xml:space="preserve">Determination of the coordination area for mobile earth stations operating with geostationary space stations in the frequency bands shared with the terrestrial services</t>
  </si>
  <si>
    <t xml:space="preserve">R1564</t>
  </si>
  <si>
    <t xml:space="preserve">Galant-architecture design and first results of a novel galileo navigation receiver demonstrator with array antennas</t>
  </si>
  <si>
    <t xml:space="preserve">R1565</t>
  </si>
  <si>
    <t xml:space="preserve">Robust frequency synchronization for OFDM-based cognitive radio systems</t>
  </si>
  <si>
    <t xml:space="preserve">10.1109/T-WC.2008.071082</t>
  </si>
  <si>
    <t xml:space="preserve">R1566</t>
  </si>
  <si>
    <t xml:space="preserve">Researches on the cyclostationarity of MIMO OFDM signals</t>
  </si>
  <si>
    <t xml:space="preserve">10.1109/ICISE.2009.1025</t>
  </si>
  <si>
    <t xml:space="preserve">R1567</t>
  </si>
  <si>
    <t xml:space="preserve">Carrier frequency offset estimation in multiantenna transmission systems based on single-carrier modulation</t>
  </si>
  <si>
    <t xml:space="preserve">10.1109/ICCSC.2008.92</t>
  </si>
  <si>
    <t xml:space="preserve">R1568</t>
  </si>
  <si>
    <t xml:space="preserve">A multi-carrier based approach to wireless duplex: Orthogonal Frequency Division Duplex (OFDD)</t>
  </si>
  <si>
    <t xml:space="preserve">10.1109/ISWCS.2006.4362321</t>
  </si>
  <si>
    <t xml:space="preserve">R1569</t>
  </si>
  <si>
    <t xml:space="preserve">Blind identification of frequency selective channel using Higher Order Statistics</t>
  </si>
  <si>
    <t xml:space="preserve">10.1109/ICSPC.2007.4728283</t>
  </si>
  <si>
    <t xml:space="preserve">R1570</t>
  </si>
  <si>
    <t xml:space="preserve">Formation flying system design for a planet-finding telescope-occulter system</t>
  </si>
  <si>
    <t xml:space="preserve">10.1117/12.731626</t>
  </si>
  <si>
    <t xml:space="preserve">R1571</t>
  </si>
  <si>
    <t xml:space="preserve">A direct down-conversion receiver for coherent extraction of digital baseband signals using the injection locked oscillators</t>
  </si>
  <si>
    <t xml:space="preserve">10.1109/RWS.2008.4463427</t>
  </si>
  <si>
    <t xml:space="preserve">R1572</t>
  </si>
  <si>
    <t xml:space="preserve">Joint symbol timing and carrier frequency recovery for DVB-SH system</t>
  </si>
  <si>
    <t xml:space="preserve">10.1109/IWSSC.2007.4409394</t>
  </si>
  <si>
    <t xml:space="preserve">R1573</t>
  </si>
  <si>
    <t xml:space="preserve">Gatekeeper: An untethered, persistent, station-keeping gateway buoy</t>
  </si>
  <si>
    <t xml:space="preserve">R1574</t>
  </si>
  <si>
    <t xml:space="preserve">Carrier phase airborne and ground monitors for ionospheric front detection for category III LAAS</t>
  </si>
  <si>
    <t xml:space="preserve">R1575</t>
  </si>
  <si>
    <t xml:space="preserve">An adaptive receiver for constant modulus signal interference suppression in civil aviation air-ground communication</t>
  </si>
  <si>
    <t xml:space="preserve">10.1109/APCC.2007.4433475</t>
  </si>
  <si>
    <t xml:space="preserve">R1576</t>
  </si>
  <si>
    <t xml:space="preserve">Carrier and symbol phase synchronizers</t>
  </si>
  <si>
    <t xml:space="preserve">R1577</t>
  </si>
  <si>
    <t xml:space="preserve">Performance evaluation of multicarrier CDMA systems in the presence of carrier frequency offset with beamforming techniques</t>
  </si>
  <si>
    <t xml:space="preserve">10.1109/VETECS.2008.255</t>
  </si>
  <si>
    <t xml:space="preserve">R1578</t>
  </si>
  <si>
    <t xml:space="preserve">Doppler frequency estimation schemes for multi-carrier systems</t>
  </si>
  <si>
    <t xml:space="preserve">10.1109/ISCIT.2006.339827</t>
  </si>
  <si>
    <t xml:space="preserve">R1579</t>
  </si>
  <si>
    <t xml:space="preserve">Carrier frequency offset estimation in MIMO OFDM systems</t>
  </si>
  <si>
    <t xml:space="preserve">10.1109/WiCom.2008.150</t>
  </si>
  <si>
    <t xml:space="preserve">R1580</t>
  </si>
  <si>
    <t xml:space="preserve">Performance of single-carrier frequency-domain adaptive antenna array</t>
  </si>
  <si>
    <t xml:space="preserve">10.1109/VETECF.2007.114</t>
  </si>
  <si>
    <t xml:space="preserve">R1581</t>
  </si>
  <si>
    <t xml:space="preserve">Evaluating simplified air force models for cloth simulation</t>
  </si>
  <si>
    <t xml:space="preserve">10.1109/CADCG.2009.5246929</t>
  </si>
  <si>
    <t xml:space="preserve">R1582</t>
  </si>
  <si>
    <t xml:space="preserve">Performance analysis of ICI elimination by information aid for aviation mobile broadband communication</t>
  </si>
  <si>
    <t xml:space="preserve">10.1109/VETECF.2008.382</t>
  </si>
  <si>
    <t xml:space="preserve">R1583</t>
  </si>
  <si>
    <t xml:space="preserve">Fast Iterative Maximum-Likelihood Algorithm (FIMLA) for multipath mitigation in the next generation of GNSS receivers</t>
  </si>
  <si>
    <t xml:space="preserve">10.1109/T-WC.2008.070700</t>
  </si>
  <si>
    <t xml:space="preserve">R1584</t>
  </si>
  <si>
    <t xml:space="preserve">A study of the length effect of fiber delay line based on CSMA/CP optical packet switching</t>
  </si>
  <si>
    <t xml:space="preserve">10.1016/j.ins.2008.08.014</t>
  </si>
  <si>
    <t xml:space="preserve">R1585</t>
  </si>
  <si>
    <t xml:space="preserve">RTL generation of channel architecture templates for a template-based SoC design flow</t>
  </si>
  <si>
    <t xml:space="preserve">10.1109/FDL.2008.4641460</t>
  </si>
  <si>
    <t xml:space="preserve">R1586</t>
  </si>
  <si>
    <t xml:space="preserve">Multiple sub-carrier optical wireless systems</t>
  </si>
  <si>
    <t xml:space="preserve">10.1109/ICTON.2008.4598764</t>
  </si>
  <si>
    <t xml:space="preserve">R1587</t>
  </si>
  <si>
    <t xml:space="preserve">Miami Controller-Pilot Data Link Communications summary and assessment</t>
  </si>
  <si>
    <t xml:space="preserve">R1588</t>
  </si>
  <si>
    <t xml:space="preserve">An adaptive sub-carrier and power allocation algorithm with QoS guarantee for OFDMA system</t>
  </si>
  <si>
    <t xml:space="preserve">10.1109/HPCC.2008.64</t>
  </si>
  <si>
    <t xml:space="preserve">R1590</t>
  </si>
  <si>
    <t xml:space="preserve">An improved ICI reduction method in OFDM communication system in presence of phase noise</t>
  </si>
  <si>
    <t xml:space="preserve">10.1109/ICSPC.2007.4728425</t>
  </si>
  <si>
    <t xml:space="preserve">R1591</t>
  </si>
  <si>
    <t xml:space="preserve">Spectrum and capacity analysis for air/ground air traffic management communications</t>
  </si>
  <si>
    <t xml:space="preserve">10.1109/ICNSURV.2007.384174</t>
  </si>
  <si>
    <t xml:space="preserve">R1593</t>
  </si>
  <si>
    <t xml:space="preserve">Joint channel estimation and data detection for multi-input multi-output single carrier cyclic-prefix (MIMO-SCCP) systems</t>
  </si>
  <si>
    <t xml:space="preserve">10.1109/ICC.2008.117</t>
  </si>
  <si>
    <t xml:space="preserve">R1594</t>
  </si>
  <si>
    <t xml:space="preserve">Research on the cancellation of doppler offset by information aid for aviation mobile broadband communication</t>
  </si>
  <si>
    <t xml:space="preserve">R1595</t>
  </si>
  <si>
    <t xml:space="preserve">Wireless channel model based on RBF neural network</t>
  </si>
  <si>
    <t xml:space="preserve">10.1109/ICNC.2008.439</t>
  </si>
  <si>
    <t xml:space="preserve">R1596</t>
  </si>
  <si>
    <t xml:space="preserve">Radionavigation - The future direction</t>
  </si>
  <si>
    <t xml:space="preserve">10.1109/ICECOM.2007.4544419</t>
  </si>
  <si>
    <t xml:space="preserve">R1597</t>
  </si>
  <si>
    <t xml:space="preserve">Impact of RF impairments on the performance of multi-carrier and single-carrier based 60 GHz transceivers</t>
  </si>
  <si>
    <t xml:space="preserve">10.1109/SCVT.2007.4436256</t>
  </si>
  <si>
    <t xml:space="preserve">R1598</t>
  </si>
  <si>
    <t xml:space="preserve">Web services infrastructure for e-Marketplaces based on business patterns</t>
  </si>
  <si>
    <t xml:space="preserve">R1599</t>
  </si>
  <si>
    <t xml:space="preserve">Cyclic prefixed single carrier transmission for underwater acoustic communication</t>
  </si>
  <si>
    <t xml:space="preserve">10.1109/TENCON.2007.4428871</t>
  </si>
  <si>
    <t xml:space="preserve">R1600</t>
  </si>
  <si>
    <t xml:space="preserve">Traffic-aware CQI feedback in multi-carrier systems with non-saturated downlink data</t>
  </si>
  <si>
    <t xml:space="preserve">10.1109/ICC.2008.922</t>
  </si>
  <si>
    <t xml:space="preserve">R1601</t>
  </si>
  <si>
    <t xml:space="preserve">Space and its practical applications at the service of society</t>
  </si>
  <si>
    <t xml:space="preserve">R1602</t>
  </si>
  <si>
    <t xml:space="preserve">Iterative joint optimization of transmit/receive frequency-domain equalization in single carrier wireless communication systems</t>
  </si>
  <si>
    <t xml:space="preserve">10.1109/VETECF.2008.200</t>
  </si>
  <si>
    <t xml:space="preserve">R1603</t>
  </si>
  <si>
    <t xml:space="preserve">Improving low visibility operations</t>
  </si>
  <si>
    <t xml:space="preserve">10.1109/ICNSURV.2008.4559164</t>
  </si>
  <si>
    <t xml:space="preserve">R1604</t>
  </si>
  <si>
    <t xml:space="preserve">Semi-blind channel estimation for the uplink of multi-carrier code-division multiple access systems with timing offset</t>
  </si>
  <si>
    <t xml:space="preserve">10.1049/iet-com:20080332</t>
  </si>
  <si>
    <t xml:space="preserve">R1605</t>
  </si>
  <si>
    <t xml:space="preserve">Adjacent-channel, co-channel and intersymbol interference suppression for carrier interferometry based one-cell reuse single-carrier TDMA systems</t>
  </si>
  <si>
    <t xml:space="preserve">10.1109/ISTMWC.2007.4299259</t>
  </si>
  <si>
    <t xml:space="preserve">R1606</t>
  </si>
  <si>
    <t xml:space="preserve">Design of UWB SSCI signal applicable for Cognitive Radio</t>
  </si>
  <si>
    <t xml:space="preserve">10.1109/ISCIT.2006.339956</t>
  </si>
  <si>
    <t xml:space="preserve">R1607</t>
  </si>
  <si>
    <t xml:space="preserve">MIMO active interference cancellation for stealth cognitive radio in MB-OFDM UWB</t>
  </si>
  <si>
    <t xml:space="preserve">10.1109/CHINACOM.2008.4684996</t>
  </si>
  <si>
    <t xml:space="preserve">R1608</t>
  </si>
  <si>
    <t xml:space="preserve">Performance evaluation of APK modulation for nonlinear satellite communication channel</t>
  </si>
  <si>
    <t xml:space="preserve">10.1109/ICCEE.2009.227</t>
  </si>
  <si>
    <t xml:space="preserve">R1609</t>
  </si>
  <si>
    <t xml:space="preserve">Performance analysis of CSMA and RI-BTMA in an ad hoc network</t>
  </si>
  <si>
    <t xml:space="preserve">10.1109/CISS.2008.4558696</t>
  </si>
  <si>
    <t xml:space="preserve">R1610</t>
  </si>
  <si>
    <t xml:space="preserve">Detection of security related affect and behaviour in passenger transport</t>
  </si>
  <si>
    <t xml:space="preserve">R1611</t>
  </si>
  <si>
    <t xml:space="preserve">Wireless propagation modelling inside a business jet</t>
  </si>
  <si>
    <t xml:space="preserve">10.1109/EURCON.2009.5167863</t>
  </si>
  <si>
    <t xml:space="preserve">R1612</t>
  </si>
  <si>
    <t xml:space="preserve">Emerging service oriented architecture-based concepts in air traffic control</t>
  </si>
  <si>
    <t xml:space="preserve">R1613</t>
  </si>
  <si>
    <t xml:space="preserve">Practical handover optimization solution using autonomic agent-based piloting system</t>
  </si>
  <si>
    <t xml:space="preserve">10.1109/WD.2008.4812921</t>
  </si>
  <si>
    <t xml:space="preserve">R1614</t>
  </si>
  <si>
    <t xml:space="preserve">Complexity-performance trade-offs in a single carrier transmission with iterative equalization</t>
  </si>
  <si>
    <t xml:space="preserve">10.1109/VETECF.2008.386</t>
  </si>
  <si>
    <t xml:space="preserve">R1615</t>
  </si>
  <si>
    <t xml:space="preserve">Calculation on finesse of Fabry-Perot interferometer in millimeter-wave, radio-over-fiber system</t>
  </si>
  <si>
    <t xml:space="preserve">10.1109/AOE.2006.307346</t>
  </si>
  <si>
    <t xml:space="preserve">R1616</t>
  </si>
  <si>
    <t xml:space="preserve">Performance of an interference canceller for P-MP satellite networks with nonlinear TWTA</t>
  </si>
  <si>
    <t xml:space="preserve">10.1109/ISCCSP.2008.4537449</t>
  </si>
  <si>
    <t xml:space="preserve">R1618</t>
  </si>
  <si>
    <t xml:space="preserve">Receiver design for linearly modulated signals with unknown carrier frequency and phase offset</t>
  </si>
  <si>
    <t xml:space="preserve">10.1109/VETECS.2008.279</t>
  </si>
  <si>
    <t xml:space="preserve">R1619</t>
  </si>
  <si>
    <t xml:space="preserve">Cost effective high performance modular instrumentation, signal generation and signal analysis for future mobile communication systems</t>
  </si>
  <si>
    <t xml:space="preserve">10.1109/AUTEST.2007.4374282</t>
  </si>
  <si>
    <t xml:space="preserve">R1620</t>
  </si>
  <si>
    <t xml:space="preserve">Scientific researches results of wired specialized digital information transmission systems creation (DITS)</t>
  </si>
  <si>
    <t xml:space="preserve">R1621</t>
  </si>
  <si>
    <t xml:space="preserve">Broadband wireless networks for airport surface communications</t>
  </si>
  <si>
    <t xml:space="preserve">10.1109/ICNSURV.2008.4559195</t>
  </si>
  <si>
    <t xml:space="preserve">R1622</t>
  </si>
  <si>
    <t xml:space="preserve">Consolidated storm prediction for aviation (CoSPA)</t>
  </si>
  <si>
    <t xml:space="preserve">10.1109/ICNSURV.2008.4559190</t>
  </si>
  <si>
    <t xml:space="preserve">R1623</t>
  </si>
  <si>
    <t xml:space="preserve">The role of no radio (nordo) events in airspace security</t>
  </si>
  <si>
    <t xml:space="preserve">10.1109/ICNSURV.2008.4559170</t>
  </si>
  <si>
    <t xml:space="preserve">R1624</t>
  </si>
  <si>
    <t xml:space="preserve">On multicarrier schemes for doubly-selective channels</t>
  </si>
  <si>
    <t xml:space="preserve">10.1109/SPSC.2008.4686719</t>
  </si>
  <si>
    <t xml:space="preserve">R1625</t>
  </si>
  <si>
    <t xml:space="preserve">Flight test result and analysis of SBAS-like algorithm in the implementation of the Asia-Pacific GNSS Test Bed</t>
  </si>
  <si>
    <t xml:space="preserve">R1626</t>
  </si>
  <si>
    <t xml:space="preserve">Pilot aided STBC MC-CDMA using overloaded minimum TSC spreading codes</t>
  </si>
  <si>
    <t xml:space="preserve">10.1109/ICTMICC.2007.4448596</t>
  </si>
  <si>
    <t xml:space="preserve">R1627</t>
  </si>
  <si>
    <t xml:space="preserve">Cognitive radio Centric overlay/underlay waveform</t>
  </si>
  <si>
    <t xml:space="preserve">10.1109/DYSPAN.2008.20</t>
  </si>
  <si>
    <t xml:space="preserve">R1628</t>
  </si>
  <si>
    <t xml:space="preserve">Exact SER analysis of OSTBC MIMO-OFDM systems over uncorrelated nakagami-m fading channels</t>
  </si>
  <si>
    <t xml:space="preserve">10.1109/INMIC.2009.5383138</t>
  </si>
  <si>
    <t xml:space="preserve">R1629</t>
  </si>
  <si>
    <t xml:space="preserve">A dual-band low profile phased array antenna for civil aviation applications</t>
  </si>
  <si>
    <t xml:space="preserve">R1630</t>
  </si>
  <si>
    <t xml:space="preserve">Cooperative communications over flat fading channels with carrier offsets: A double-differential modulation approach</t>
  </si>
  <si>
    <t xml:space="preserve">10.1155/2008/531786</t>
  </si>
  <si>
    <t xml:space="preserve">R1631</t>
  </si>
  <si>
    <t xml:space="preserve">Optical beamforming for retro-directive array antennas</t>
  </si>
  <si>
    <t xml:space="preserve">10.1117/12.804733</t>
  </si>
  <si>
    <t xml:space="preserve">R1632</t>
  </si>
  <si>
    <t xml:space="preserve">Spectrum demand for air/ground air traffic management communications</t>
  </si>
  <si>
    <t xml:space="preserve">10.1109/ICNSURV.2008.4559194</t>
  </si>
  <si>
    <t xml:space="preserve">R1633</t>
  </si>
  <si>
    <t xml:space="preserve">Low complexity adaptive turbo space-frequency equalization for single-carrier multiple-input multiple-output systems</t>
  </si>
  <si>
    <t xml:space="preserve">10.1109/TWC.2008.070095</t>
  </si>
  <si>
    <t xml:space="preserve">R1634</t>
  </si>
  <si>
    <t xml:space="preserve">Wireless and Internet communications technologies for monitoring and control</t>
  </si>
  <si>
    <t xml:space="preserve">10.1016/j.conengprac.2003.09.002</t>
  </si>
  <si>
    <t xml:space="preserve">R1635</t>
  </si>
  <si>
    <t xml:space="preserve">Efficient turbo equalizer for MIMO single carrier systems</t>
  </si>
  <si>
    <t xml:space="preserve">10.1109/WiCom.2008.79</t>
  </si>
  <si>
    <t xml:space="preserve">R1636</t>
  </si>
  <si>
    <t xml:space="preserve">Coordinated sub-carrier and band hopping in OFDMA based systems</t>
  </si>
  <si>
    <t xml:space="preserve">10.1109/ISWCS.2007.4392309</t>
  </si>
  <si>
    <t xml:space="preserve">R1637</t>
  </si>
  <si>
    <t xml:space="preserve">Frequency domain discrete fourier transform spread generalized multi-carrier system and its performance analysis</t>
  </si>
  <si>
    <t xml:space="preserve">10.1016/j.comcom.2008.07.006</t>
  </si>
  <si>
    <t xml:space="preserve">R1638</t>
  </si>
  <si>
    <t xml:space="preserve">Doppler frequency offset compensation using aid information for improving performance in aviation mobile broadband communication</t>
  </si>
  <si>
    <t xml:space="preserve">10.1109/WiCom.2008.192</t>
  </si>
  <si>
    <t xml:space="preserve">R1639</t>
  </si>
  <si>
    <t xml:space="preserve">The joint ensemble forecast system (JEFS) experiment</t>
  </si>
  <si>
    <t xml:space="preserve">10.1109/HPCMP-UGC.2009.47</t>
  </si>
  <si>
    <t xml:space="preserve">R1640</t>
  </si>
  <si>
    <t xml:space="preserve">A channel model of atmospheric impairment for the design of adaptive coding and modulation in stratospheric communication</t>
  </si>
  <si>
    <t xml:space="preserve">R1641</t>
  </si>
  <si>
    <t xml:space="preserve">Slow and fast adaptation of partial equalization for MC-CDMA systems</t>
  </si>
  <si>
    <t xml:space="preserve">10.1109/ISWCS.2007.4392387</t>
  </si>
  <si>
    <t xml:space="preserve">R1642</t>
  </si>
  <si>
    <t xml:space="preserve">Service availability for air traffic control air/ground voice communications in the Gulf of Mexico</t>
  </si>
  <si>
    <t xml:space="preserve">R1643</t>
  </si>
  <si>
    <t xml:space="preserve">A survey of UAS technologies for command, control, and communication (C3)</t>
  </si>
  <si>
    <t xml:space="preserve">10.1007/s10846-008-9261-2</t>
  </si>
  <si>
    <t xml:space="preserve">R1644</t>
  </si>
  <si>
    <t xml:space="preserve">Effect of carrier frequency offset on the channel capacity in multiuser OFDM-FDMA systems</t>
  </si>
  <si>
    <t xml:space="preserve">10.1007/s11277-007-9386-9</t>
  </si>
  <si>
    <t xml:space="preserve">R1645</t>
  </si>
  <si>
    <t xml:space="preserve">Bit error rate calculation for OFDM direct conversion receivers with synchronization and channel estimation imperfections</t>
  </si>
  <si>
    <t xml:space="preserve">10.1109/ISTMWC.2007.4299045</t>
  </si>
  <si>
    <t xml:space="preserve">R1646</t>
  </si>
  <si>
    <t xml:space="preserve">Space environmental data requirements for polar-orbiting operational environmental spacecraft</t>
  </si>
  <si>
    <t xml:space="preserve">R1647</t>
  </si>
  <si>
    <t xml:space="preserve">Development trends of embedded system driven by applications</t>
  </si>
  <si>
    <t xml:space="preserve">10.1142/9789812701534_0074</t>
  </si>
  <si>
    <t xml:space="preserve">R1648</t>
  </si>
  <si>
    <t xml:space="preserve">Spiking neuron channel</t>
  </si>
  <si>
    <t xml:space="preserve">10.1109/ISIT.2009.5205817</t>
  </si>
  <si>
    <t xml:space="preserve">R1649</t>
  </si>
  <si>
    <t xml:space="preserve">A joint coded two-step interference cancellation technique for a multiuser MIMO-SC-FDE system</t>
  </si>
  <si>
    <t xml:space="preserve">10.1109/ICSNC.2008.59</t>
  </si>
  <si>
    <t xml:space="preserve">R1650</t>
  </si>
  <si>
    <t xml:space="preserve">Developing a usable mobile flight case learning system in air traffic control miscommunications</t>
  </si>
  <si>
    <t xml:space="preserve">10.1007/978-3-642-02583-9_83</t>
  </si>
  <si>
    <t xml:space="preserve">R1651</t>
  </si>
  <si>
    <t xml:space="preserve">Design and implementation of a solution for the provisioning of converged remote tower and facility management services over satellite IP for Greek heliports</t>
  </si>
  <si>
    <t xml:space="preserve">10.1109/MCOM.2008.4597104</t>
  </si>
  <si>
    <t xml:space="preserve">R1652</t>
  </si>
  <si>
    <t xml:space="preserve">Classification of Air Force aviation accidents: Mishap trends and prevention</t>
  </si>
  <si>
    <t xml:space="preserve">10.1080/10508410802346913</t>
  </si>
  <si>
    <t xml:space="preserve">R1653</t>
  </si>
  <si>
    <t xml:space="preserve">Short-range infrared wireless communication system for multi-mobile robot team operations</t>
  </si>
  <si>
    <t xml:space="preserve">R1654</t>
  </si>
  <si>
    <t xml:space="preserve">Evaluation of key techniques for packet traffics in multi-carrier LCR TDD systems</t>
  </si>
  <si>
    <t xml:space="preserve">10.1109/VETECF.2008.401</t>
  </si>
  <si>
    <t xml:space="preserve">R1655</t>
  </si>
  <si>
    <t xml:space="preserve">Spectrum interference testing in L-band</t>
  </si>
  <si>
    <t xml:space="preserve">10.1109/ICNSURV.2007.384172</t>
  </si>
  <si>
    <t xml:space="preserve">R1656</t>
  </si>
  <si>
    <t xml:space="preserve">The integrated airport - A NextGen test bed</t>
  </si>
  <si>
    <t xml:space="preserve">10.1109/ICNSURV.2008.4559154</t>
  </si>
  <si>
    <t xml:space="preserve">R1657</t>
  </si>
  <si>
    <t xml:space="preserve">The costs and benefits of separating wireless telephone service from handset sales and imposing network neutrality obligations</t>
  </si>
  <si>
    <t xml:space="preserve">10.1109/KINGN.2008.4542276</t>
  </si>
  <si>
    <t xml:space="preserve">R1658</t>
  </si>
  <si>
    <t xml:space="preserve">Using Loran for modernized spaced based augmentation system (SBAS)</t>
  </si>
  <si>
    <t xml:space="preserve">R1659</t>
  </si>
  <si>
    <t xml:space="preserve">Innovative strategy for vehicle position certification on the basis of GNSS reference time</t>
  </si>
  <si>
    <t xml:space="preserve">10.1109/PLANS.2008.4570011</t>
  </si>
  <si>
    <t xml:space="preserve">R1660</t>
  </si>
  <si>
    <t xml:space="preserve">DVB-RCS+M enables profitable mobile broadb and aeronautical market</t>
  </si>
  <si>
    <t xml:space="preserve">R1661</t>
  </si>
  <si>
    <t xml:space="preserve">Methods for obtaining CIR based on IFFT in MIMO-OFDMA mobile communication systems</t>
  </si>
  <si>
    <t xml:space="preserve">10.1109/WiCom.2008.157</t>
  </si>
  <si>
    <t xml:space="preserve">R1662</t>
  </si>
  <si>
    <t xml:space="preserve">A thorough investigation of mobile IPv6 for the aeronautical environment</t>
  </si>
  <si>
    <t xml:space="preserve">10.1109/VETECF.2008.295</t>
  </si>
  <si>
    <t xml:space="preserve">R1663</t>
  </si>
  <si>
    <t xml:space="preserve">Transferring Knowledge from Observations and Models to Decision Makers - An Overview and Challenges</t>
  </si>
  <si>
    <t xml:space="preserve">10.1117/12.513892</t>
  </si>
  <si>
    <t xml:space="preserve">R1664</t>
  </si>
  <si>
    <t xml:space="preserve">Estimation of BT interference in OFDM sub carriers with training signals</t>
  </si>
  <si>
    <t xml:space="preserve">10.1109/ICWMC.2008.11</t>
  </si>
  <si>
    <t xml:space="preserve">R1665</t>
  </si>
  <si>
    <t xml:space="preserve">Distributed mobility management scheme for mobile IPv6</t>
  </si>
  <si>
    <t xml:space="preserve">10.1587/transcom.E92.B.77</t>
  </si>
  <si>
    <t xml:space="preserve">R1666</t>
  </si>
  <si>
    <t xml:space="preserve">Total rainfall in relation to meteorological parameters over trivandrum</t>
  </si>
  <si>
    <t xml:space="preserve">10.1109/IGARSS.2008.4779889</t>
  </si>
  <si>
    <t xml:space="preserve">R1667</t>
  </si>
  <si>
    <t xml:space="preserve">In-situ optical time-domain reflectometry (OTDR) for VCSEL-based communication systems</t>
  </si>
  <si>
    <t xml:space="preserve">10.1117/12.644176</t>
  </si>
  <si>
    <t xml:space="preserve">R1668</t>
  </si>
  <si>
    <t xml:space="preserve">GPS L5 "Light's on!" - A first comprehensive signal verification and performance analysis</t>
  </si>
  <si>
    <t xml:space="preserve">R1669</t>
  </si>
  <si>
    <t xml:space="preserve">A covert communication scheme for the DWT and data partitioning based image multiple description coding system</t>
  </si>
  <si>
    <t xml:space="preserve">10.1109/ICICIC.2008.16</t>
  </si>
  <si>
    <t xml:space="preserve">R1670</t>
  </si>
  <si>
    <t xml:space="preserve">Dynamic behaviour of AirCom Internet users on long-haul North Atlantic flights</t>
  </si>
  <si>
    <t xml:space="preserve">R1671</t>
  </si>
  <si>
    <t xml:space="preserve">Requirements for future aerospace</t>
  </si>
  <si>
    <t xml:space="preserve">R1672</t>
  </si>
  <si>
    <t xml:space="preserve">Adaptive bit, power allocation and sub-carrier coupling for AF-OFDM relaying systems</t>
  </si>
  <si>
    <t xml:space="preserve">10.1109/VETECS.2008.350</t>
  </si>
  <si>
    <t xml:space="preserve">R1673</t>
  </si>
  <si>
    <t xml:space="preserve">GPS III integrity concept</t>
  </si>
  <si>
    <t xml:space="preserve">R1674</t>
  </si>
  <si>
    <t xml:space="preserve">Policies for the reconfiguration of cognitive wireless infrastructures to 3G Radio Access Technologies</t>
  </si>
  <si>
    <t xml:space="preserve">10.1007/s11276-007-0056-3</t>
  </si>
  <si>
    <t xml:space="preserve">R1675</t>
  </si>
  <si>
    <t xml:space="preserve">Modeling of air/ground air traffic control communications for fast-time simulation</t>
  </si>
  <si>
    <t xml:space="preserve">R1676</t>
  </si>
  <si>
    <t xml:space="preserve">Distributed STBC for single carrier relay-assisted transmissions over frequency-selective channels</t>
  </si>
  <si>
    <t xml:space="preserve">10.1109/ISIT.2008.4595102</t>
  </si>
  <si>
    <t xml:space="preserve">R1677</t>
  </si>
  <si>
    <t xml:space="preserve">Background noise estimation using outer product expansion for ELF electromagnetic wave signal</t>
  </si>
  <si>
    <t xml:space="preserve">10.1109/ISPACS.2009.5383883</t>
  </si>
  <si>
    <t xml:space="preserve">R1678</t>
  </si>
  <si>
    <t xml:space="preserve">System performance evaluation for advanced techniques added in cdma2000 1×EV-DO</t>
  </si>
  <si>
    <t xml:space="preserve">10.1109/WiCom.2008.32</t>
  </si>
  <si>
    <t xml:space="preserve">R1679</t>
  </si>
  <si>
    <t xml:space="preserve">Expertise recommendation: A two-way knowledge communication channel</t>
  </si>
  <si>
    <t xml:space="preserve">10.1109/ICAS.2008.19</t>
  </si>
  <si>
    <t xml:space="preserve">R1680</t>
  </si>
  <si>
    <t xml:space="preserve">Carrier capital expenditures</t>
  </si>
  <si>
    <t xml:space="preserve">10.1109/MCOM.2008.4557047</t>
  </si>
  <si>
    <t xml:space="preserve">R1681</t>
  </si>
  <si>
    <t xml:space="preserve">Acoustic communication performance of the WHOI micro-modem in sea trials of the nereus vehicle to 11,000 m depth</t>
  </si>
  <si>
    <t xml:space="preserve">R1682</t>
  </si>
  <si>
    <t xml:space="preserve">Space-time codes for MIMO ultra-wideband communications and MIMO free-space optical communications with PPM</t>
  </si>
  <si>
    <t xml:space="preserve">10.1109/JSAC.2008.080810</t>
  </si>
  <si>
    <t xml:space="preserve">R1683</t>
  </si>
  <si>
    <t xml:space="preserve">New state diagram for STBC in single carrier frequency selective channels</t>
  </si>
  <si>
    <t xml:space="preserve">R1684</t>
  </si>
  <si>
    <t xml:space="preserve">An information theoretical approach for molecular communication</t>
  </si>
  <si>
    <t xml:space="preserve">10.1109/BIMNICS.2007.4610077</t>
  </si>
  <si>
    <t xml:space="preserve">R1685</t>
  </si>
  <si>
    <t xml:space="preserve">Communication channel model simulated using Digital elevation maps and modified deterministic Loo model</t>
  </si>
  <si>
    <t xml:space="preserve">10.1109/RADIOELEK.2009.5158761</t>
  </si>
  <si>
    <t xml:space="preserve">R1686</t>
  </si>
  <si>
    <t xml:space="preserve">A study of variable channel length for Single Carrier Transmission with Decision Feedback Equalizer</t>
  </si>
  <si>
    <t xml:space="preserve">10.1109/RWS.2008.4463480</t>
  </si>
  <si>
    <t xml:space="preserve">R1687</t>
  </si>
  <si>
    <t xml:space="preserve">Distributed simulation for acquisition and analysis of future airport operational concepts</t>
  </si>
  <si>
    <t xml:space="preserve">10.2514/1.3267</t>
  </si>
  <si>
    <t xml:space="preserve">R1688</t>
  </si>
  <si>
    <t xml:space="preserve">Evaluation of a flight deck-based merging and spacing concept on en-route air traffic control operations</t>
  </si>
  <si>
    <t xml:space="preserve">R1689</t>
  </si>
  <si>
    <t xml:space="preserve">Making carrier frequency offset an advantage for orthogonal frequency division multiplexing</t>
  </si>
  <si>
    <t xml:space="preserve">10.1109/CHINACOM.2008.4685159</t>
  </si>
  <si>
    <t xml:space="preserve">R1690</t>
  </si>
  <si>
    <t xml:space="preserve">From information rate computation to communication system design</t>
  </si>
  <si>
    <t xml:space="preserve">10.1109/ITA.2007.4357599</t>
  </si>
  <si>
    <t xml:space="preserve">R1691</t>
  </si>
  <si>
    <t xml:space="preserve">VoIP-based air traffic controller training</t>
  </si>
  <si>
    <t xml:space="preserve">10.1109/MCOM.2009.5307479</t>
  </si>
  <si>
    <t xml:space="preserve">R1692</t>
  </si>
  <si>
    <t xml:space="preserve">(NIAMac) neighbor and interference -aware MAC protocol for wireless ad hoc networks</t>
  </si>
  <si>
    <t xml:space="preserve">10.1109/ISTMWC.2007.4299118</t>
  </si>
  <si>
    <t xml:space="preserve">R1693</t>
  </si>
  <si>
    <t xml:space="preserve">A case study on modelling the communication structure of critical systems</t>
  </si>
  <si>
    <t xml:space="preserve">R1694</t>
  </si>
  <si>
    <t xml:space="preserve">A new quickly algorithm for GPS/Galileo/BD satellite selection</t>
  </si>
  <si>
    <t xml:space="preserve">10.1117/12.775523</t>
  </si>
  <si>
    <t xml:space="preserve">R1695</t>
  </si>
  <si>
    <t xml:space="preserve">MMSE-FDE based on estimated SNR for single-carrier block transmission (SCBT) in multi-Gbps WPAN (IEEE 802.15.3c)</t>
  </si>
  <si>
    <t xml:space="preserve">10.1109/ICCW.2008.15</t>
  </si>
  <si>
    <t xml:space="preserve">R1696</t>
  </si>
  <si>
    <t xml:space="preserve">Amplify - and - forward cooperative diversity schemes for Multi-Carrier systems</t>
  </si>
  <si>
    <t xml:space="preserve">10.1109/TWC.2008.070660</t>
  </si>
  <si>
    <t xml:space="preserve">R1697</t>
  </si>
  <si>
    <t xml:space="preserve">A scheme of private key agreement based on delay profiles in UWB systems</t>
  </si>
  <si>
    <t xml:space="preserve">10.1109/SARNOF.2006.4534731</t>
  </si>
  <si>
    <t xml:space="preserve">R1698</t>
  </si>
  <si>
    <t xml:space="preserve">Frequency-domain space-time block coded-joint transmit/receive diversity for the single carrier transmission</t>
  </si>
  <si>
    <t xml:space="preserve">10.1109/ICCS.2006.301425</t>
  </si>
  <si>
    <t xml:space="preserve">R1699</t>
  </si>
  <si>
    <t xml:space="preserve">Resource allocation for multi-user video transmission over multi-carrier networks</t>
  </si>
  <si>
    <t xml:space="preserve">10.1109/ICC.2008.777</t>
  </si>
  <si>
    <t xml:space="preserve">R1700</t>
  </si>
  <si>
    <t xml:space="preserve">EIRP-restricted downlink beamforming in WLAN OFDM systems</t>
  </si>
  <si>
    <t xml:space="preserve">10.1109/SPAWC.2006.346401</t>
  </si>
  <si>
    <t xml:space="preserve">R1701</t>
  </si>
  <si>
    <t xml:space="preserve">Steganography in thai text</t>
  </si>
  <si>
    <t xml:space="preserve">10.1109/ECTICON.2008.4600390</t>
  </si>
  <si>
    <t xml:space="preserve">R1702</t>
  </si>
  <si>
    <t xml:space="preserve">Providing corrections from space based augmentation system to non-aviation users via internet</t>
  </si>
  <si>
    <t xml:space="preserve">R1703</t>
  </si>
  <si>
    <t xml:space="preserve">Software package for visualization and analysis of biomedical and physical signals</t>
  </si>
  <si>
    <t xml:space="preserve">10.1109/EURCON.2007.4400512</t>
  </si>
  <si>
    <t xml:space="preserve">R1704</t>
  </si>
  <si>
    <t xml:space="preserve">Robust receiver design for MIMO single-carrier block transmission over time-varying dispersive channels against imperfect channel knowledge</t>
  </si>
  <si>
    <t xml:space="preserve">10.1109/VETECS.2008.423</t>
  </si>
  <si>
    <t xml:space="preserve">R1705</t>
  </si>
  <si>
    <t xml:space="preserve">B-AMC - Broadband aeronautical multi-carrier communications</t>
  </si>
  <si>
    <t xml:space="preserve">10.1109/ICNSURV.2008.4559173</t>
  </si>
  <si>
    <t xml:space="preserve">R1706</t>
  </si>
  <si>
    <t xml:space="preserve">Iterative channel estimation for unique-word based single-carrier block transmission</t>
  </si>
  <si>
    <t xml:space="preserve">10.1109/ICCSC.2008.162</t>
  </si>
  <si>
    <t xml:space="preserve">R1707</t>
  </si>
  <si>
    <t xml:space="preserve">Carrier phase lock loops tested with different input waves</t>
  </si>
  <si>
    <t xml:space="preserve">10.1109/ICDT.2008.40</t>
  </si>
  <si>
    <t xml:space="preserve">R1708</t>
  </si>
  <si>
    <t xml:space="preserve">Simulation design of a new 3.1-10.6GHz single-full-band non-carrier pulse-based ultra wideband (1-UWB) system</t>
  </si>
  <si>
    <t xml:space="preserve">10.1109/ICASIC.2007.4415760</t>
  </si>
  <si>
    <t xml:space="preserve">R1710</t>
  </si>
  <si>
    <t xml:space="preserve">Multiple carrier frequency offset and channel state estimation in the fading channel</t>
  </si>
  <si>
    <t xml:space="preserve">10.1109/VETECF.2008.75</t>
  </si>
  <si>
    <t xml:space="preserve">R1711</t>
  </si>
  <si>
    <t xml:space="preserve">Performance of the multi-carrier LMDS system at the 28 GHz radio frequency band</t>
  </si>
  <si>
    <t xml:space="preserve">10.1109/MCWC.2006.4375213</t>
  </si>
  <si>
    <t xml:space="preserve">R1712</t>
  </si>
  <si>
    <t xml:space="preserve">Communications, navigation, and surveillance events simulation for the national airspace system</t>
  </si>
  <si>
    <t xml:space="preserve">10.1109/WSC.2005.1574429</t>
  </si>
  <si>
    <t xml:space="preserve">R1713</t>
  </si>
  <si>
    <t xml:space="preserve">Moment-based estimation of the signal-to-noise ratio for oversampled narrowband signals</t>
  </si>
  <si>
    <t xml:space="preserve">10.1109/ISTMWC.2007.4299066</t>
  </si>
  <si>
    <t xml:space="preserve">R1714</t>
  </si>
  <si>
    <t xml:space="preserve">Bilateral energy transfer for high fidelity haptic telemanipulation</t>
  </si>
  <si>
    <t xml:space="preserve">10.1109/WHC.2009.4810869</t>
  </si>
  <si>
    <t xml:space="preserve">R1716</t>
  </si>
  <si>
    <t xml:space="preserve">NLOS single scattering model in digital UV communication</t>
  </si>
  <si>
    <t xml:space="preserve">10.1117/12.803589</t>
  </si>
  <si>
    <t xml:space="preserve">R1717</t>
  </si>
  <si>
    <t xml:space="preserve">Data-aided joint estimation of carrier frequency offset and frequency-selective time-varying channel</t>
  </si>
  <si>
    <t xml:space="preserve">10.1109/ICC.2008.116</t>
  </si>
  <si>
    <t xml:space="preserve">R1718</t>
  </si>
  <si>
    <t xml:space="preserve">Supporting multiple classes of services in IP over WDM ring network</t>
  </si>
  <si>
    <t xml:space="preserve">10.1109/IIH-MSP.2008.58</t>
  </si>
  <si>
    <t xml:space="preserve">R1719</t>
  </si>
  <si>
    <t xml:space="preserve">A novel millimeter-wave generation technique for mm-ROF system based on harmonic generation principle</t>
  </si>
  <si>
    <t xml:space="preserve">10.1109/AOE.2007.4410820</t>
  </si>
  <si>
    <t xml:space="preserve">R1720</t>
  </si>
  <si>
    <t xml:space="preserve">Air traffic management, safety culture improvement, and the nuclear power industry</t>
  </si>
  <si>
    <t xml:space="preserve">R1721</t>
  </si>
  <si>
    <t xml:space="preserve">Joint blind equalization &amp; carrier phase recovery based on Adaptively Varying Modulus Algorithm (AVMA)</t>
  </si>
  <si>
    <t xml:space="preserve">10.1109/INMIC.2005.334416</t>
  </si>
  <si>
    <t xml:space="preserve">R1722</t>
  </si>
  <si>
    <t xml:space="preserve">Wiener's loop filter for PLL-based carrier recovery with OQPSK and MSK</t>
  </si>
  <si>
    <t xml:space="preserve">10.1109/CSNDSP.2008.4610711</t>
  </si>
  <si>
    <t xml:space="preserve">R1723</t>
  </si>
  <si>
    <t xml:space="preserve">Impact of RF circuit imperfections on multi-carrier and single-carrier based transmissions at 60 GHz</t>
  </si>
  <si>
    <t xml:space="preserve">10.1109/RWS.2008.4463586</t>
  </si>
  <si>
    <t xml:space="preserve">R1724</t>
  </si>
  <si>
    <t xml:space="preserve">Frequency synthesizer testing for robust design</t>
  </si>
  <si>
    <t xml:space="preserve">10.1109/AUTEST.2008.4662649</t>
  </si>
  <si>
    <t xml:space="preserve">R1726</t>
  </si>
  <si>
    <t xml:space="preserve">Pseudo-orthogonal carrier interference orthogonal frequency division multiplexing (PO-CI/OFDM) revisited</t>
  </si>
  <si>
    <t xml:space="preserve">10.1109/COINNGNCON.2006.4454680</t>
  </si>
  <si>
    <t xml:space="preserve">R1727</t>
  </si>
  <si>
    <t xml:space="preserve">A Secure radio communication system based on an efficient speech watermarking approach</t>
  </si>
  <si>
    <t xml:space="preserve">10.1002/sec.70</t>
  </si>
  <si>
    <t xml:space="preserve">R1728</t>
  </si>
  <si>
    <t xml:space="preserve">Adaptive OFDM over frequency selective and fast fading channel using blockwise bit loading algorithm</t>
  </si>
  <si>
    <t xml:space="preserve">10.1109/WOCN.2007.4284197</t>
  </si>
  <si>
    <t xml:space="preserve">R1729</t>
  </si>
  <si>
    <t xml:space="preserve">Radio resource management for the multi-user uplink using DFT-precoded OFDM</t>
  </si>
  <si>
    <t xml:space="preserve">10.1109/ICC.2008.885</t>
  </si>
  <si>
    <t xml:space="preserve">R1730</t>
  </si>
  <si>
    <t xml:space="preserve">Spectral overlay of direct-sequence spread spectrum in the instrument landing system glideslope band</t>
  </si>
  <si>
    <t xml:space="preserve">10.2514/1.9476</t>
  </si>
  <si>
    <t xml:space="preserve">R1731</t>
  </si>
  <si>
    <t xml:space="preserve">Linear quadratic gaussian optimization approach for signal-to-noise ratio constrained control over network</t>
  </si>
  <si>
    <t xml:space="preserve">10.1007/s12555-009-0614-9</t>
  </si>
  <si>
    <t xml:space="preserve">R1732</t>
  </si>
  <si>
    <t xml:space="preserve">Encrypted voice calls with IP enabled wireless phones over GSM/ CDMA/ WiFi networks</t>
  </si>
  <si>
    <t xml:space="preserve">10.1109/ICCET.2009.95</t>
  </si>
  <si>
    <t xml:space="preserve">R1733</t>
  </si>
  <si>
    <t xml:space="preserve">Peak to average power ratio analysis of multi-carrier and multi-standard signals in software radio context</t>
  </si>
  <si>
    <t xml:space="preserve">10.1109/ICTTA.2008.4530240</t>
  </si>
  <si>
    <t xml:space="preserve">R1734</t>
  </si>
  <si>
    <t xml:space="preserve">Minimizing spatial and time reservation with Collision-Aware DCF in mobile ad hoc networks</t>
  </si>
  <si>
    <t xml:space="preserve">10.1016/j.adhoc.2008.02.002</t>
  </si>
  <si>
    <t xml:space="preserve">R1735</t>
  </si>
  <si>
    <t xml:space="preserve">Bi-directional radio-over-fiber architecture based on up- And down-conversion</t>
  </si>
  <si>
    <t xml:space="preserve">10.1109/HONET.2007.4600250</t>
  </si>
  <si>
    <t xml:space="preserve">R1737</t>
  </si>
  <si>
    <t xml:space="preserve">MEMS-based phased arrays for army applications</t>
  </si>
  <si>
    <t xml:space="preserve">10.1117/12.721760</t>
  </si>
  <si>
    <t xml:space="preserve">R1738</t>
  </si>
  <si>
    <t xml:space="preserve">Iterative frequency-domain channel estimation and equalization for single-carrier transmissions without cyclic-prefix</t>
  </si>
  <si>
    <t xml:space="preserve">10.1109/T-WC.2008.070371</t>
  </si>
  <si>
    <t xml:space="preserve">R1739</t>
  </si>
  <si>
    <t xml:space="preserve">A study on secure RFID mutual authentication scheme in pervasive computing environment</t>
  </si>
  <si>
    <t xml:space="preserve">10.1016/j.comcom.2008.05.006</t>
  </si>
  <si>
    <t xml:space="preserve">R1740</t>
  </si>
  <si>
    <t xml:space="preserve">Application of passification method to controlled synchronization of tree networks under information constraints</t>
  </si>
  <si>
    <t xml:space="preserve">10.1109/CCA.2009.5281024</t>
  </si>
  <si>
    <t xml:space="preserve">R1741</t>
  </si>
  <si>
    <t xml:space="preserve">Routing in double layered satellite network</t>
  </si>
  <si>
    <t xml:space="preserve">10.1117/12.837218</t>
  </si>
  <si>
    <t xml:space="preserve">R1742</t>
  </si>
  <si>
    <t xml:space="preserve">Monitor and user receivers for differential Loran</t>
  </si>
  <si>
    <t xml:space="preserve">R1743</t>
  </si>
  <si>
    <t xml:space="preserve">Data synchronization of INS and satellite system integration</t>
  </si>
  <si>
    <t xml:space="preserve">10.1117/12.716773</t>
  </si>
  <si>
    <t xml:space="preserve">R1744</t>
  </si>
  <si>
    <t xml:space="preserve">Freight tracking and tracing services using EGNOS: The METIS real-life demonstration</t>
  </si>
  <si>
    <t xml:space="preserve">R1745</t>
  </si>
  <si>
    <t xml:space="preserve">A spatial backoff algorithm using the joint control of carrier sense threshold and transmission rate</t>
  </si>
  <si>
    <t xml:space="preserve">10.1109/SAHCN.2007.4292862</t>
  </si>
  <si>
    <t xml:space="preserve">R1746</t>
  </si>
  <si>
    <t xml:space="preserve">Uplink OFDMA without cyclic prefix: An interference cancellation approach</t>
  </si>
  <si>
    <t xml:space="preserve">10.1109/ISCCSP.2008.4537322</t>
  </si>
  <si>
    <t xml:space="preserve">R1747</t>
  </si>
  <si>
    <t xml:space="preserve">The global in-flight internet</t>
  </si>
  <si>
    <t xml:space="preserve">10.1109/JSAC.2006.875122</t>
  </si>
  <si>
    <t xml:space="preserve">R1748</t>
  </si>
  <si>
    <t xml:space="preserve">Training sequence optimization for joint channel and frequency offset estimation</t>
  </si>
  <si>
    <t xml:space="preserve">10.1109/TSP.2008.921712</t>
  </si>
  <si>
    <t xml:space="preserve">R1749</t>
  </si>
  <si>
    <t xml:space="preserve">An efficient maximum likelihood carrier frequency offset estimation technique for OFDM systems</t>
  </si>
  <si>
    <t xml:space="preserve">10.1109/ISCC.2008.4625692</t>
  </si>
  <si>
    <t xml:space="preserve">R1750</t>
  </si>
  <si>
    <t xml:space="preserve">Characterization of TWTA nonlinearity by means of a time-domain correlation method</t>
  </si>
  <si>
    <t xml:space="preserve">10.1109/SPSC.2008.4686725</t>
  </si>
  <si>
    <t xml:space="preserve">R1751</t>
  </si>
  <si>
    <t xml:space="preserve">Shared situational awareness to meet future airspace security mission needs</t>
  </si>
  <si>
    <t xml:space="preserve">10.1109/ICNSURV.2008.4559169</t>
  </si>
  <si>
    <t xml:space="preserve">R1752</t>
  </si>
  <si>
    <t xml:space="preserve">Secondary power supply universal test system based on PXI bus</t>
  </si>
  <si>
    <t xml:space="preserve">10.1109/CAS-ICTD.2009.4960870</t>
  </si>
  <si>
    <t xml:space="preserve">R1753</t>
  </si>
  <si>
    <t xml:space="preserve">Space solutions for air transport: An overview of the esa programmes</t>
  </si>
  <si>
    <t xml:space="preserve">R1754</t>
  </si>
  <si>
    <t xml:space="preserve">Multiuser detection method for single-carrier transmission in uplink multiuser MIMO access</t>
  </si>
  <si>
    <t xml:space="preserve">10.1109/VETECF.2007.129</t>
  </si>
  <si>
    <t xml:space="preserve">R1755</t>
  </si>
  <si>
    <t xml:space="preserve">The airbus A380 - An AFDX-based flight test computer concept</t>
  </si>
  <si>
    <t xml:space="preserve">R1756</t>
  </si>
  <si>
    <t xml:space="preserve">A fuzzy expert system for aviation risk assessment</t>
  </si>
  <si>
    <t xml:space="preserve">10.1016/j.eswa.2008.07.081</t>
  </si>
  <si>
    <t xml:space="preserve">R1757</t>
  </si>
  <si>
    <t xml:space="preserve">A programmable carrier phase independent symbol timing recovery circuit for QPSK/OQPSK signals</t>
  </si>
  <si>
    <t xml:space="preserve">10.1016/j.micpro.2008.06.001</t>
  </si>
  <si>
    <t xml:space="preserve">R1758</t>
  </si>
  <si>
    <t xml:space="preserve">A covert communication scheme for a SPIHT based image multiple description coding system</t>
  </si>
  <si>
    <t xml:space="preserve">10.1109/ICICIC.2008.15</t>
  </si>
  <si>
    <t xml:space="preserve">R1759</t>
  </si>
  <si>
    <t xml:space="preserve">Improved positioning using GSM and GNSS tight hybridization</t>
  </si>
  <si>
    <t xml:space="preserve">R1760</t>
  </si>
  <si>
    <t xml:space="preserve">Variable sub-carrier in OFDM to reduce the ICI due to carrier frequency offset and IQ imbalance</t>
  </si>
  <si>
    <t xml:space="preserve">10.1109/WIMOB.2007.4390806</t>
  </si>
  <si>
    <t xml:space="preserve">R1761</t>
  </si>
  <si>
    <t xml:space="preserve">Single sideband technologies for optimization of VHF aerospace communications</t>
  </si>
  <si>
    <t xml:space="preserve">10.1109/ICNSURV.2007.384147</t>
  </si>
  <si>
    <t xml:space="preserve">R1762</t>
  </si>
  <si>
    <t xml:space="preserve">FPGA implementation and performance evaluation of a digital carrier synchronizer using different numerically controlled oscillators</t>
  </si>
  <si>
    <t xml:space="preserve">10.1109/CCECE.2007.317</t>
  </si>
  <si>
    <t xml:space="preserve">R1763</t>
  </si>
  <si>
    <t xml:space="preserve">A concept for pairing departures from parallel runways for wake avoidance</t>
  </si>
  <si>
    <t xml:space="preserve">10.1109/ICNSURV.2008.4559178</t>
  </si>
  <si>
    <t xml:space="preserve">R1764</t>
  </si>
  <si>
    <t xml:space="preserve">Issues in the implementation of a 60GHz transceiver on CMOS</t>
  </si>
  <si>
    <t xml:space="preserve">10.1109/RFIT.2007.4443937</t>
  </si>
  <si>
    <t xml:space="preserve">R1765</t>
  </si>
  <si>
    <t xml:space="preserve">Influence of inter carrier interference on Link Adaptation algorithms in OFDM systems</t>
  </si>
  <si>
    <t xml:space="preserve">10.1109/ISTMWC.2007.4299305</t>
  </si>
  <si>
    <t xml:space="preserve">R1766</t>
  </si>
  <si>
    <t xml:space="preserve">Development of symmetric cryptosystem using matrices with less overhead on communication channel</t>
  </si>
  <si>
    <t xml:space="preserve">10.1109/ICICT.2009.5267208</t>
  </si>
  <si>
    <t xml:space="preserve">R1767</t>
  </si>
  <si>
    <t xml:space="preserve">System performance comparison of fast-OFDM with overlapping MC-DS-CDMA and MT-CDMA systems</t>
  </si>
  <si>
    <t xml:space="preserve">10.1109/ICICS.2007.4449861</t>
  </si>
  <si>
    <t xml:space="preserve">R1768</t>
  </si>
  <si>
    <t xml:space="preserve">Formal verification of the NASA runway safety monitor</t>
  </si>
  <si>
    <t xml:space="preserve">10.1016/j.entcs.2005.04.011</t>
  </si>
  <si>
    <t xml:space="preserve">R1769</t>
  </si>
  <si>
    <t xml:space="preserve">A detect-and-avoid method for single-carrier UWB systems</t>
  </si>
  <si>
    <t xml:space="preserve">10.1109/ISWCS.2007.4392429</t>
  </si>
  <si>
    <t xml:space="preserve">R1770</t>
  </si>
  <si>
    <t xml:space="preserve">Efficient, flexible, and scalable inter-network spectrum sharing and communications in cognitive IEEE 802.22 networks</t>
  </si>
  <si>
    <t xml:space="preserve">10.1109/COGART.2008.4509981</t>
  </si>
  <si>
    <t xml:space="preserve">R1771</t>
  </si>
  <si>
    <t xml:space="preserve">Feasibility of an aeronautical mobile ad hoc network over the north atlantic corridor</t>
  </si>
  <si>
    <t xml:space="preserve">10.1109/SAHCN.2008.23</t>
  </si>
  <si>
    <t xml:space="preserve">R1772</t>
  </si>
  <si>
    <t xml:space="preserve">Rotated MC-cyclic antenna frequency spread: Effect of rotations in correlated MIMO-OFDM systems</t>
  </si>
  <si>
    <t xml:space="preserve">10.1109/SPAWC.2006.346349</t>
  </si>
  <si>
    <t xml:space="preserve">R1773</t>
  </si>
  <si>
    <t xml:space="preserve">Low power free space optical communication in wireless sensor networks</t>
  </si>
  <si>
    <t xml:space="preserve">10.1109/DSD.2009.234</t>
  </si>
  <si>
    <t xml:space="preserve">R1774</t>
  </si>
  <si>
    <t xml:space="preserve">Narrowband interference avoidance for ultra-wideband single-carrier block transmissions with frequency-domain equalization</t>
  </si>
  <si>
    <t xml:space="preserve">10.1109/T-WC.2008.070679</t>
  </si>
  <si>
    <t xml:space="preserve">R1775</t>
  </si>
  <si>
    <t xml:space="preserve">A simulation environment for multi-antenna software defined radio</t>
  </si>
  <si>
    <t xml:space="preserve">10.1109/ICICS.2007.4449814</t>
  </si>
  <si>
    <t xml:space="preserve">R1776</t>
  </si>
  <si>
    <t xml:space="preserve">Feasibility study of a multi-carrier dual-use imaging radar and communication system</t>
  </si>
  <si>
    <t xml:space="preserve">10.1109/EURAD.2007.4404970</t>
  </si>
  <si>
    <t xml:space="preserve">R1777</t>
  </si>
  <si>
    <t xml:space="preserve">Implementation of a hardware functional verification system using systemc infrastructure</t>
  </si>
  <si>
    <t xml:space="preserve">10.1109/TENCON.2009.5395830</t>
  </si>
  <si>
    <t xml:space="preserve">R1778</t>
  </si>
  <si>
    <t xml:space="preserve">Architecture of an IP-based aeronautical network</t>
  </si>
  <si>
    <t xml:space="preserve">10.1109/ICNSURV.2009.5172851</t>
  </si>
  <si>
    <t xml:space="preserve">R1779</t>
  </si>
  <si>
    <t xml:space="preserve">A predictive channel assignment method (PCAM) for interference avoidance in IEEE 802.15.3 WPANs</t>
  </si>
  <si>
    <t xml:space="preserve">10.1109/VETECF.2009.5378880</t>
  </si>
  <si>
    <t xml:space="preserve">R1780</t>
  </si>
  <si>
    <t xml:space="preserve">Congruence results of behavioral equivalence for a graph rewriting model of concurrent programs</t>
  </si>
  <si>
    <t xml:space="preserve">R1781</t>
  </si>
  <si>
    <t xml:space="preserve">Realization of a communication experiment at 500-GHz band</t>
  </si>
  <si>
    <t xml:space="preserve">10.1117/12.755413</t>
  </si>
  <si>
    <t xml:space="preserve">R1782</t>
  </si>
  <si>
    <t xml:space="preserve">Fixed point decoding performance of short-length structured LDPC codes for SC-FDE based 60-GHz WPAN (IEEE 802.15.3c)</t>
  </si>
  <si>
    <t xml:space="preserve">10.1109/VETECS.2008.419</t>
  </si>
  <si>
    <t xml:space="preserve">R1784</t>
  </si>
  <si>
    <t xml:space="preserve">Flight Deck-Based Merging and Spacing during en route descent: Findings from an Air Traffic Controller simulation</t>
  </si>
  <si>
    <t xml:space="preserve">R1785</t>
  </si>
  <si>
    <t xml:space="preserve">Overhead conductor thermal dynamics identification by using Echo State Networks</t>
  </si>
  <si>
    <t xml:space="preserve">10.1109/IJCNN.2009.5179006</t>
  </si>
  <si>
    <t xml:space="preserve">R1786</t>
  </si>
  <si>
    <t xml:space="preserve">Sensitivity of multi carrier 2 dimensional spreading systems to carrier phase noise</t>
  </si>
  <si>
    <t xml:space="preserve">10.1109/SPAWC.2006.346346</t>
  </si>
  <si>
    <t xml:space="preserve">R1787</t>
  </si>
  <si>
    <t xml:space="preserve">Blind channel estimation for single-carrier space-time block coded transmission with frequency-domain equalization: A diagonal precoding based approach</t>
  </si>
  <si>
    <t xml:space="preserve">10.1109/SPAWC.2006.346362</t>
  </si>
  <si>
    <t xml:space="preserve">R1788</t>
  </si>
  <si>
    <t xml:space="preserve">The Transformation of the Distribution Process in the Airline Industry Empowered by Information and Communication Technology</t>
  </si>
  <si>
    <t xml:space="preserve">10.4018/978-1-59904-949-6.ch019</t>
  </si>
  <si>
    <t xml:space="preserve">R1789</t>
  </si>
  <si>
    <t xml:space="preserve">Future trends for IP services over FAA telecommunications infrastructure</t>
  </si>
  <si>
    <t xml:space="preserve">10.1109/ICNSURV.2008.4559191</t>
  </si>
  <si>
    <t xml:space="preserve">R1790</t>
  </si>
  <si>
    <t xml:space="preserve">Digital broadband VHF aeronautical communications for air traffic control</t>
  </si>
  <si>
    <t xml:space="preserve">10.1109/ICNSURV.2009.5172856</t>
  </si>
  <si>
    <t xml:space="preserve">R1791</t>
  </si>
  <si>
    <t xml:space="preserve">Comparison of single- and multi-carrier block transmissions under the effect of nonlinear HPA</t>
  </si>
  <si>
    <t xml:space="preserve">10.1109/SCVT.2007.4436261</t>
  </si>
  <si>
    <t xml:space="preserve">R1792</t>
  </si>
  <si>
    <t xml:space="preserve">Prototype ADS-B system in the midwest: Description and lessons learned</t>
  </si>
  <si>
    <t xml:space="preserve">10.1109/ICNSURV.2008.4559160</t>
  </si>
  <si>
    <t xml:space="preserve">R1793</t>
  </si>
  <si>
    <t xml:space="preserve">CMOS based Decision Directed Costas Carrier Recovery Loop (DDC-CRL) for a DSSS communication system</t>
  </si>
  <si>
    <t xml:space="preserve">10.1109/AFRCON.2007.4401590</t>
  </si>
  <si>
    <t xml:space="preserve">R1794</t>
  </si>
  <si>
    <t xml:space="preserve">A modified DVB-T system architecture with multi-carrier multi-code transmission and MPIC based reception</t>
  </si>
  <si>
    <t xml:space="preserve">10.1109/ICC.2008.178</t>
  </si>
  <si>
    <t xml:space="preserve">R1795</t>
  </si>
  <si>
    <t xml:space="preserve">SP4IAIS: A semantic platform for integrating aviation information systems</t>
  </si>
  <si>
    <t xml:space="preserve">10.1109/ICCIT.2007.4420581</t>
  </si>
  <si>
    <t xml:space="preserve">R1796</t>
  </si>
  <si>
    <t xml:space="preserve">Robust detection for the uplink of broadband wireless systems with strong ACI levels</t>
  </si>
  <si>
    <t xml:space="preserve">R1797</t>
  </si>
  <si>
    <t xml:space="preserve">Sequential RAIM designed to detect combined step ramp pseudo-range errors</t>
  </si>
  <si>
    <t xml:space="preserve">R1798</t>
  </si>
  <si>
    <t xml:space="preserve">Low-power and high-accurate synchronization for IEEE 802.16d systems</t>
  </si>
  <si>
    <t xml:space="preserve">10.1109/TVLSI.2008.2001567</t>
  </si>
  <si>
    <t xml:space="preserve">R1799</t>
  </si>
  <si>
    <t xml:space="preserve">A software factory for air traffic data</t>
  </si>
  <si>
    <t xml:space="preserve">10.1109/ICNSURV.2007.384149</t>
  </si>
  <si>
    <t xml:space="preserve">R1800</t>
  </si>
  <si>
    <t xml:space="preserve">On the performance of MC-CDMA systems with TORC detection and channel estimation error</t>
  </si>
  <si>
    <t xml:space="preserve">10.1109/VETECF.2007.242</t>
  </si>
  <si>
    <t xml:space="preserve">R1801</t>
  </si>
  <si>
    <t xml:space="preserve">Blind channel identification for MIMO single carrier zero padding block transmission systems</t>
  </si>
  <si>
    <t xml:space="preserve">10.1109/SPAWC.2006.346360</t>
  </si>
  <si>
    <t xml:space="preserve">R1802</t>
  </si>
  <si>
    <t xml:space="preserve">Basic research in information science and technology for air force needs</t>
  </si>
  <si>
    <t xml:space="preserve">10.17226/11529</t>
  </si>
  <si>
    <t xml:space="preserve">R1803</t>
  </si>
  <si>
    <t xml:space="preserve">Maximum-likelihood estimation of the frequency response of a low frequency power-line communication channel</t>
  </si>
  <si>
    <t xml:space="preserve">10.1109/ISPLC.2008.4510429</t>
  </si>
  <si>
    <t xml:space="preserve">R1804</t>
  </si>
  <si>
    <t xml:space="preserve">Frequency sharing hotspot communication under uplink multi-carrier CDMA cellular system</t>
  </si>
  <si>
    <t xml:space="preserve">10.1002/wcm.569</t>
  </si>
  <si>
    <t xml:space="preserve">R1805</t>
  </si>
  <si>
    <t xml:space="preserve">Underwater acoustic communications: Design considerations on the physical layer</t>
  </si>
  <si>
    <t xml:space="preserve">10.1109/WONS.2008.4459349</t>
  </si>
  <si>
    <t xml:space="preserve">R1806</t>
  </si>
  <si>
    <t xml:space="preserve">Synthetic vision system for improving unmanned aerial vehicle operator situation awareness</t>
  </si>
  <si>
    <t xml:space="preserve">10.1117/12.603421</t>
  </si>
  <si>
    <t xml:space="preserve">R1807</t>
  </si>
  <si>
    <t xml:space="preserve">Radioelectric compatibility of the future aeronautical communication system</t>
  </si>
  <si>
    <t xml:space="preserve">10.1109/ITST.2009.5399349</t>
  </si>
  <si>
    <t xml:space="preserve">R1808</t>
  </si>
  <si>
    <t xml:space="preserve">Ultra tightly coupled GPS/INS receiver for TSPI applications</t>
  </si>
  <si>
    <t xml:space="preserve">R1809</t>
  </si>
  <si>
    <t xml:space="preserve">SDR based multiple access technique for multimedia applications</t>
  </si>
  <si>
    <t xml:space="preserve">10.1109/ISCIT.2007.4392068</t>
  </si>
  <si>
    <t xml:space="preserve">R1810</t>
  </si>
  <si>
    <t xml:space="preserve">Dynamic feedback carrier frequency offset estimator for OFDM systems</t>
  </si>
  <si>
    <t xml:space="preserve">10.1109/ICSPC.2007.4728501</t>
  </si>
  <si>
    <t xml:space="preserve">R1811</t>
  </si>
  <si>
    <t xml:space="preserve">On the effect of time-domain per-subcarrier equalization for band-limited OQAM based Multi-Carrier Modulation systems</t>
  </si>
  <si>
    <t xml:space="preserve">10.1109/VETECS.2008.91</t>
  </si>
  <si>
    <t xml:space="preserve">R1812</t>
  </si>
  <si>
    <t xml:space="preserve">Control of jump linear systems over jump communication channels - Source-channel matching approach</t>
  </si>
  <si>
    <t xml:space="preserve">10.1109/ISIT.2007.4557593</t>
  </si>
  <si>
    <t xml:space="preserve">R1813</t>
  </si>
  <si>
    <t xml:space="preserve">Impact of doppler on high speed UAV OFDM system</t>
  </si>
  <si>
    <t xml:space="preserve">10.1109/ICCSN.2009.37</t>
  </si>
  <si>
    <t xml:space="preserve">R1814</t>
  </si>
  <si>
    <t xml:space="preserve">Joint carrier-frequency offset and channel estimation for MIMO-OFDM transmission</t>
  </si>
  <si>
    <t xml:space="preserve">10.1007/s11277-008-9466-5</t>
  </si>
  <si>
    <t xml:space="preserve">R1815</t>
  </si>
  <si>
    <t xml:space="preserve">Wideband channel characterization for wireless communications inside a short haul aircraft</t>
  </si>
  <si>
    <t xml:space="preserve">R1816</t>
  </si>
  <si>
    <t xml:space="preserve">Optimizing inter-domain communication</t>
  </si>
  <si>
    <t xml:space="preserve">10.1109/ICPADS.2009.59</t>
  </si>
  <si>
    <t xml:space="preserve">R1817</t>
  </si>
  <si>
    <t xml:space="preserve">On adaptive sensing of complex communication channels</t>
  </si>
  <si>
    <t xml:space="preserve">10.1109/CAMSAP.2007.4497955</t>
  </si>
  <si>
    <t xml:space="preserve">R1818</t>
  </si>
  <si>
    <t xml:space="preserve">An optimal 2 × 2 space-time code for time-hopping ultra-wideband systems with binary pulse position modulation</t>
  </si>
  <si>
    <t xml:space="preserve">10.1109/ISWCS.2006.4362339</t>
  </si>
  <si>
    <t xml:space="preserve">R1819</t>
  </si>
  <si>
    <t xml:space="preserve">Implementing geospatially enabled aviation web services</t>
  </si>
  <si>
    <t xml:space="preserve">10.1109/ICNSURV.2008.4559162</t>
  </si>
  <si>
    <t xml:space="preserve">R1820</t>
  </si>
  <si>
    <t xml:space="preserve">Impulsive noise detection on masked carriers</t>
  </si>
  <si>
    <t xml:space="preserve">10.1109/ISPLC.2008.4510456</t>
  </si>
  <si>
    <t xml:space="preserve">R1821</t>
  </si>
  <si>
    <t xml:space="preserve">Thermal noise informatics: Totally secure communication via a wire; Zero-power communication; and Thermal noise driven computing</t>
  </si>
  <si>
    <t xml:space="preserve">10.1117/12.727078</t>
  </si>
  <si>
    <t xml:space="preserve">R1822</t>
  </si>
  <si>
    <t xml:space="preserve">On information theoretic aspects of single- and multi-carrier communications</t>
  </si>
  <si>
    <t xml:space="preserve">10.1109/ITA.2008.4601030</t>
  </si>
  <si>
    <t xml:space="preserve">R1823</t>
  </si>
  <si>
    <t xml:space="preserve">Channel equalization and symbol detection for single carrier broadband MIMO systems with multiple carrier frequency offsets</t>
  </si>
  <si>
    <t xml:space="preserve">10.1109/ICC.2008.810</t>
  </si>
  <si>
    <t xml:space="preserve">R1824</t>
  </si>
  <si>
    <t xml:space="preserve">Pulse-shaping for blind multi-user separation in distributed MISO configurations</t>
  </si>
  <si>
    <t xml:space="preserve">10.1109/RWS.2008.4463590</t>
  </si>
  <si>
    <t xml:space="preserve">R1825</t>
  </si>
  <si>
    <t xml:space="preserve">Future communication study technology investigations</t>
  </si>
  <si>
    <t xml:space="preserve">10.1109/ICNSURV.2007.384146</t>
  </si>
  <si>
    <t xml:space="preserve">R1826</t>
  </si>
  <si>
    <t xml:space="preserve">Optimal bit and power allocation algorithm in multi-carrier CDMA</t>
  </si>
  <si>
    <t xml:space="preserve">10.1109/IWSDA.2007.4408343</t>
  </si>
  <si>
    <t xml:space="preserve">R1827</t>
  </si>
  <si>
    <t xml:space="preserve">Applying OOK modulation to reduce the inter-carrier interference in OFDM</t>
  </si>
  <si>
    <t xml:space="preserve">10.1109/WOCN.2007.4284187</t>
  </si>
  <si>
    <t xml:space="preserve">R1828</t>
  </si>
  <si>
    <t xml:space="preserve">New methods for blind fine estimation of carrier frequency offset in OFDM/OQAM systems</t>
  </si>
  <si>
    <t xml:space="preserve">10.1109/SPAWC.2006.346406</t>
  </si>
  <si>
    <t xml:space="preserve">R1829</t>
  </si>
  <si>
    <t xml:space="preserve">Clearing a frequency subband for enhanced aeronautical communications</t>
  </si>
  <si>
    <t xml:space="preserve">10.1109/ICNSURV.2007.384173</t>
  </si>
  <si>
    <t xml:space="preserve">R1830</t>
  </si>
  <si>
    <t xml:space="preserve">eMaintenance-Information logistics for maintenance support</t>
  </si>
  <si>
    <t xml:space="preserve">10.1016/j.rcim.2009.04.005</t>
  </si>
  <si>
    <t xml:space="preserve">R1831</t>
  </si>
  <si>
    <t xml:space="preserve">Performance evaluation of OFDMA and multicarrier CDMA systems on airport surface area channels</t>
  </si>
  <si>
    <t xml:space="preserve">10.1109/ICNSURV.2008.4559199</t>
  </si>
  <si>
    <t xml:space="preserve">R1832</t>
  </si>
  <si>
    <t xml:space="preserve">Iterative carrier frequency offset and channel estimation for underwater acoustic OFDM systems</t>
  </si>
  <si>
    <t xml:space="preserve">10.1109/JSAC.2008.081205</t>
  </si>
  <si>
    <t xml:space="preserve">R1833</t>
  </si>
  <si>
    <t xml:space="preserve">Fractional frequency reuse planning for WiMAX over frequency selective channels</t>
  </si>
  <si>
    <t xml:space="preserve">10.1109/IWCMC.2008.115</t>
  </si>
  <si>
    <t xml:space="preserve">R1834</t>
  </si>
  <si>
    <t xml:space="preserve">Differential Loran - Real life performance</t>
  </si>
  <si>
    <t xml:space="preserve">R1835</t>
  </si>
  <si>
    <t xml:space="preserve">Speech enhancement under aviation noise</t>
  </si>
  <si>
    <t xml:space="preserve">10.1109/WiCOM.2006.319</t>
  </si>
  <si>
    <t xml:space="preserve">R1836</t>
  </si>
  <si>
    <t xml:space="preserve">Encounter modeling for sense and avoid development</t>
  </si>
  <si>
    <t xml:space="preserve">10.1109/ICNSURV.2008.4559177</t>
  </si>
  <si>
    <t xml:space="preserve">R1837</t>
  </si>
  <si>
    <t xml:space="preserve">GPS receivers timing data processing using neural networks: Optimal estimation and errors modeling</t>
  </si>
  <si>
    <t xml:space="preserve">10.1142/S0129065707001226</t>
  </si>
  <si>
    <t xml:space="preserve">R1838</t>
  </si>
  <si>
    <t xml:space="preserve">A measurement system and the TUG-EEC-channels database for the aeronautical voice radio</t>
  </si>
  <si>
    <t xml:space="preserve">10.1109/VTCF.2006.11</t>
  </si>
  <si>
    <t xml:space="preserve">R1839</t>
  </si>
  <si>
    <t xml:space="preserve">Evaluation of real-time position accuracy and LNAV/VNAV service availability of GAGAN SBAS (Wide Area Differential GPS) over Indian region</t>
  </si>
  <si>
    <t xml:space="preserve">10.1109/TIWDC.2008.4649025</t>
  </si>
  <si>
    <t xml:space="preserve">R1840</t>
  </si>
  <si>
    <t xml:space="preserve">Double-differential coding for orthogonal space-time block codes</t>
  </si>
  <si>
    <t xml:space="preserve">10.1109/ICASSP.2008.4518123</t>
  </si>
  <si>
    <t xml:space="preserve">R1841</t>
  </si>
  <si>
    <t xml:space="preserve">A data strategy for Network-Enabled Operations (NEO)</t>
  </si>
  <si>
    <t xml:space="preserve">R1842</t>
  </si>
  <si>
    <t xml:space="preserve">Improvement of header detection rate in 60 GHz single carrier WPAN system</t>
  </si>
  <si>
    <t xml:space="preserve">10.1109/IWCMC.2008.118</t>
  </si>
  <si>
    <t xml:space="preserve">R1844</t>
  </si>
  <si>
    <t xml:space="preserve">Trust Management in Virtual Product Development Networks</t>
  </si>
  <si>
    <t xml:space="preserve">10.4018/978-1-60566-026-4.ch611</t>
  </si>
  <si>
    <t xml:space="preserve">R1845</t>
  </si>
  <si>
    <t xml:space="preserve">How to access audio files of large data bases using in-car speech dialogue systems</t>
  </si>
  <si>
    <t xml:space="preserve">R1846</t>
  </si>
  <si>
    <t xml:space="preserve">Scope equivalence of concurrent systems based on bipartite directed acyclic graph</t>
  </si>
  <si>
    <t xml:space="preserve">R1847</t>
  </si>
  <si>
    <t xml:space="preserve">Feedback Model of Air Transportation System Change: Implementation Challenges for Aviation Information Systems</t>
  </si>
  <si>
    <t xml:space="preserve">10.1109/JPROC.2008.2006118</t>
  </si>
  <si>
    <t xml:space="preserve">R1848</t>
  </si>
  <si>
    <t xml:space="preserve">Robust model predictive control under limited capacity communication constraints</t>
  </si>
  <si>
    <t xml:space="preserve">10.1109/ICCA.2009.5410412</t>
  </si>
  <si>
    <t xml:space="preserve">R1849</t>
  </si>
  <si>
    <t xml:space="preserve">A hierarchical routing architecture for the aviation communication network</t>
  </si>
  <si>
    <t xml:space="preserve">10.1109/CCCM.2009.5268053</t>
  </si>
  <si>
    <t xml:space="preserve">R1850</t>
  </si>
  <si>
    <t xml:space="preserve">Air traffic control communications implications of reconfigurable airspace boundaries</t>
  </si>
  <si>
    <t xml:space="preserve">R1851</t>
  </si>
  <si>
    <t xml:space="preserve">A solution to remote detecting of illegal electricity usage based on smart metering</t>
  </si>
  <si>
    <t xml:space="preserve">10.1109/SOFA.2007.4318322</t>
  </si>
  <si>
    <t xml:space="preserve">R1852</t>
  </si>
  <si>
    <t xml:space="preserve">Theoretical limits on time delay estimation for ultra-wideband cognitive radios</t>
  </si>
  <si>
    <t xml:space="preserve">10.1109/ICUWB.2008.4653380</t>
  </si>
  <si>
    <t xml:space="preserve">R1854</t>
  </si>
  <si>
    <t xml:space="preserve">Service-oriented information logistics as support to intelligent transport services</t>
  </si>
  <si>
    <t xml:space="preserve">R1855</t>
  </si>
  <si>
    <t xml:space="preserve">WLAN smart antenna with Bluetooth interference reduction</t>
  </si>
  <si>
    <t xml:space="preserve">10.1049/iet-com:20070316</t>
  </si>
  <si>
    <t xml:space="preserve">R1856</t>
  </si>
  <si>
    <t xml:space="preserve">Design and performance evaluation of the MIMO SFBC CI-OFDM communication system</t>
  </si>
  <si>
    <t xml:space="preserve">10.1109/ICWMC.2008.10</t>
  </si>
  <si>
    <t xml:space="preserve">R1857</t>
  </si>
  <si>
    <t xml:space="preserve">Atmosphere-ocean laser communication channel simulation and modeling</t>
  </si>
  <si>
    <t xml:space="preserve">10.1109/CCCM.2009.5267531</t>
  </si>
  <si>
    <t xml:space="preserve">R1858</t>
  </si>
  <si>
    <t xml:space="preserve">Novel joint blind channel and carrier offset estimation method for CDMA systems</t>
  </si>
  <si>
    <t xml:space="preserve">10.1109/ISWCS.2007.4392448</t>
  </si>
  <si>
    <t xml:space="preserve">R1860</t>
  </si>
  <si>
    <t xml:space="preserve">Multiuser subcarriers and bit allocation combining adaptive mapping for SC-FDMA system</t>
  </si>
  <si>
    <t xml:space="preserve">10.1016/S1005-8885(08)60105-3</t>
  </si>
  <si>
    <t xml:space="preserve">R1861</t>
  </si>
  <si>
    <t xml:space="preserve">Optimized pulse shaping for OFDM multi-user communications over doubly dispersive channels</t>
  </si>
  <si>
    <t xml:space="preserve">10.1109/ISSPA.2007.4555390</t>
  </si>
  <si>
    <t xml:space="preserve">R1862</t>
  </si>
  <si>
    <t xml:space="preserve">Synchronization of large carrier frequency offsets at low signal-to-noise ratios</t>
  </si>
  <si>
    <t xml:space="preserve">10.1109/ISTMWC.2007.4299171</t>
  </si>
  <si>
    <t xml:space="preserve">R1863</t>
  </si>
  <si>
    <t xml:space="preserve">Configuration of actors and roles in establishing ICT</t>
  </si>
  <si>
    <t xml:space="preserve">R1864</t>
  </si>
  <si>
    <t xml:space="preserve">Roadmap for implementing network centric capability for military aircrews</t>
  </si>
  <si>
    <t xml:space="preserve">10.1117/12.561262</t>
  </si>
  <si>
    <t xml:space="preserve">R1865</t>
  </si>
  <si>
    <t xml:space="preserve">Fiber optic sensor consortium activities: Opportunities and barriers</t>
  </si>
  <si>
    <t xml:space="preserve">10.1117/12.582567</t>
  </si>
  <si>
    <t xml:space="preserve">R1866</t>
  </si>
  <si>
    <t xml:space="preserve">A blind carrier frequency offset estimation scheme for OFDM systems with constant modulus signaling</t>
  </si>
  <si>
    <t xml:space="preserve">R1867</t>
  </si>
  <si>
    <t xml:space="preserve">Congruence results of scope equivalence for a graph rewriting model of concurrent programs</t>
  </si>
  <si>
    <t xml:space="preserve">10.1007/978-3-540-85762-4_17</t>
  </si>
  <si>
    <t xml:space="preserve">R1868</t>
  </si>
  <si>
    <t xml:space="preserve">Investigating MC-CDMA system performance using measurement-based channel models</t>
  </si>
  <si>
    <t xml:space="preserve">10.1109/EW.2008.4623889</t>
  </si>
  <si>
    <t xml:space="preserve">R1869</t>
  </si>
  <si>
    <t xml:space="preserve">L-band commercial communications service for unmanned aircraft systems</t>
  </si>
  <si>
    <t xml:space="preserve">10.1109/ICNSURV.2007.384170</t>
  </si>
  <si>
    <t xml:space="preserve">R1870</t>
  </si>
  <si>
    <t xml:space="preserve">Precoding in downlink multi-carrier code division multiple access systems using expectation maximisation algorithm</t>
  </si>
  <si>
    <t xml:space="preserve">10.1049/iet-com:20080046</t>
  </si>
  <si>
    <t xml:space="preserve">R1871</t>
  </si>
  <si>
    <t xml:space="preserve">A Wavelet-FFT based efficient sparse OFDMA demodulator and its implementation on VLIW architecture</t>
  </si>
  <si>
    <t xml:space="preserve">10.1109/SIPS.2007.4387508</t>
  </si>
  <si>
    <t xml:space="preserve">R1872</t>
  </si>
  <si>
    <t xml:space="preserve">Gain-saturated reflective semiconductor optical amplifier cascaded electroabsorption transceiver for enhanced remote node performance</t>
  </si>
  <si>
    <t xml:space="preserve">10.1109/MWP.2007.4378129</t>
  </si>
  <si>
    <t xml:space="preserve">R1875</t>
  </si>
  <si>
    <t xml:space="preserve">Using multi-scale spatial data in landslide mornitoring and landuse classification interpretation</t>
  </si>
  <si>
    <t xml:space="preserve">10.1080/10824000809480636</t>
  </si>
  <si>
    <t xml:space="preserve">R1876</t>
  </si>
  <si>
    <t xml:space="preserve">Iterative multiuser detection in uplink OFDMA</t>
  </si>
  <si>
    <t xml:space="preserve">10.1109/ISCIT.2007.4392007</t>
  </si>
  <si>
    <t xml:space="preserve">R1877</t>
  </si>
  <si>
    <t xml:space="preserve">Double-domains-based covert communication scheme for a RS-code-based multiple description image coding system</t>
  </si>
  <si>
    <t xml:space="preserve">10.1109/IIH-MSP.2008.260</t>
  </si>
  <si>
    <t xml:space="preserve">R1878</t>
  </si>
  <si>
    <t xml:space="preserve">A telecontrol net based on power line carrier communication</t>
  </si>
  <si>
    <t xml:space="preserve">10.1109/ICICTA.2008.65</t>
  </si>
  <si>
    <t xml:space="preserve">R1879</t>
  </si>
  <si>
    <t xml:space="preserve">A mid-term terminal concept of operations: Evaluation and evolution analysis</t>
  </si>
  <si>
    <t xml:space="preserve">10.1109/ICNSURV.2008.4559184</t>
  </si>
  <si>
    <t xml:space="preserve">R1880</t>
  </si>
  <si>
    <t xml:space="preserve">Superimposed training aided carrier frequency offset estimation in OFDM systems</t>
  </si>
  <si>
    <t xml:space="preserve">10.1109/EIT.2007.4374538</t>
  </si>
  <si>
    <t xml:space="preserve">R1881</t>
  </si>
  <si>
    <t xml:space="preserve">NASA RNSS spectrum protection activities</t>
  </si>
  <si>
    <t xml:space="preserve">R1882</t>
  </si>
  <si>
    <t xml:space="preserve">WideBand channel characterization for 3G/4G systems</t>
  </si>
  <si>
    <t xml:space="preserve">10.1109/ITICT.2007.4475627</t>
  </si>
  <si>
    <t xml:space="preserve">R1883</t>
  </si>
  <si>
    <t xml:space="preserve">New air traffic management concepts analysis methodology: Application to a multi-sector planner in US airspace</t>
  </si>
  <si>
    <t xml:space="preserve">R1884</t>
  </si>
  <si>
    <t xml:space="preserve">Comparison of frequency offset and timing offset effects on the performance of SC-FDE and OFDM over UWB channels</t>
  </si>
  <si>
    <t xml:space="preserve">10.1109/TVT.2008.919616</t>
  </si>
  <si>
    <t xml:space="preserve">R1885</t>
  </si>
  <si>
    <t xml:space="preserve">Hard decision parallel interference cancellation for uplink OFDMA</t>
  </si>
  <si>
    <t xml:space="preserve">10.1109/COINNGNCON.2006.4454681</t>
  </si>
  <si>
    <t xml:space="preserve">R1886</t>
  </si>
  <si>
    <t xml:space="preserve">An information hiding scheme for the MDC-OFDM wireless networks</t>
  </si>
  <si>
    <t xml:space="preserve">10.1109/IIH-MSP.2008.254</t>
  </si>
  <si>
    <t xml:space="preserve">R1887</t>
  </si>
  <si>
    <t xml:space="preserve">Combining multi-carrier systems with ultra-wideband over fading environments</t>
  </si>
  <si>
    <t xml:space="preserve">10.1109/APCC.2007.4433480</t>
  </si>
  <si>
    <t xml:space="preserve">R1888</t>
  </si>
  <si>
    <t xml:space="preserve">Performance analysis of slotted carrier sense IEEE 802.15.4 medium access layer</t>
  </si>
  <si>
    <t xml:space="preserve">10.1109/TWC.2008.060057</t>
  </si>
  <si>
    <t xml:space="preserve">R1889</t>
  </si>
  <si>
    <t xml:space="preserve">Downlink steered space-time spreading for multi-carrier transmission over frequency selective channels</t>
  </si>
  <si>
    <t xml:space="preserve">10.1109/VETECS.2008.203</t>
  </si>
  <si>
    <t xml:space="preserve">R1890</t>
  </si>
  <si>
    <t xml:space="preserve">Study on fractal characteristics of low-voltage power line communication channel</t>
  </si>
  <si>
    <t xml:space="preserve">10.1109/ICAL.2009.5262712</t>
  </si>
  <si>
    <t xml:space="preserve">R1891</t>
  </si>
  <si>
    <t xml:space="preserve">Multi-carrier transmission with limited feedback: Power loading over sub-channel groups</t>
  </si>
  <si>
    <t xml:space="preserve">10.1109/ICC.2008.192</t>
  </si>
  <si>
    <t xml:space="preserve">R1892</t>
  </si>
  <si>
    <t xml:space="preserve">Bilateral control of teleoperation systems with bounded uncertain time delay</t>
  </si>
  <si>
    <t xml:space="preserve">R1893</t>
  </si>
  <si>
    <t xml:space="preserve">Airport surface movement - Performance requirements, architecture considerations &amp; integrity algorithms</t>
  </si>
  <si>
    <t xml:space="preserve">R1894</t>
  </si>
  <si>
    <t xml:space="preserve">FPGA emulation environment of different digital carrier synchronizers</t>
  </si>
  <si>
    <t xml:space="preserve">10.1109/NEWCAS.2007.4487971</t>
  </si>
  <si>
    <t xml:space="preserve">R1895</t>
  </si>
  <si>
    <t xml:space="preserve">Iterative two-layer CI phase coding enhancement of uplink broadband wireless access system</t>
  </si>
  <si>
    <t xml:space="preserve">10.1109/VETECF.2008.407</t>
  </si>
  <si>
    <t xml:space="preserve">R1896</t>
  </si>
  <si>
    <t xml:space="preserve">Vision-based autonomous approach and landing for an aircraft using a direct visual tracking method</t>
  </si>
  <si>
    <t xml:space="preserve">R1897</t>
  </si>
  <si>
    <t xml:space="preserve">Terahertz CMOS circuit design and applications for ultra-high data rate (&gt;100Gbps) communication</t>
  </si>
  <si>
    <t xml:space="preserve">10.1109/ASICON.2009.5351288</t>
  </si>
  <si>
    <t xml:space="preserve">R1898</t>
  </si>
  <si>
    <t xml:space="preserve">Jam resistant communications without shared secrets</t>
  </si>
  <si>
    <t xml:space="preserve">R1899</t>
  </si>
  <si>
    <t xml:space="preserve">Measurement-based detection of interfering neighbors for QoS in wireless mesh networks</t>
  </si>
  <si>
    <t xml:space="preserve">10.1109/ISTMWC.2007.4299081</t>
  </si>
  <si>
    <t xml:space="preserve">R1900</t>
  </si>
  <si>
    <t xml:space="preserve">Using language technology to increase efficiency and safety in atc communication</t>
  </si>
  <si>
    <t xml:space="preserve">10.2514/1.12803</t>
  </si>
  <si>
    <t xml:space="preserve">R1901</t>
  </si>
  <si>
    <t xml:space="preserve">Exploiting cyclic prefix for performance improvement in single carrier systems</t>
  </si>
  <si>
    <t xml:space="preserve">10.1109/SPAWC.2006.346409</t>
  </si>
  <si>
    <t xml:space="preserve">R1902</t>
  </si>
  <si>
    <t xml:space="preserve">Compensation of phase noise in OFDM systems using a CPE and channel estimation scheme</t>
  </si>
  <si>
    <t xml:space="preserve">R1903</t>
  </si>
  <si>
    <t xml:space="preserve">Implementation of single carrier packet transmission with frequency domain equalization</t>
  </si>
  <si>
    <t xml:space="preserve">10.1109/VETECF.2008.184</t>
  </si>
  <si>
    <t xml:space="preserve">R1904</t>
  </si>
  <si>
    <t xml:space="preserve">Cellular MIMO channel capacities of MC-CDMA and OFDM</t>
  </si>
  <si>
    <t xml:space="preserve">10.1109/VETECS.2008.447</t>
  </si>
  <si>
    <t xml:space="preserve">R1905</t>
  </si>
  <si>
    <t xml:space="preserve">A software approach to access ultra-wide Band interference on GPS receivers</t>
  </si>
  <si>
    <t xml:space="preserve">R1907</t>
  </si>
  <si>
    <t xml:space="preserve">Influence of bit-error rate on the throughput of STDMA ad-hoc network</t>
  </si>
  <si>
    <t xml:space="preserve">10.1109/ICDCSW.2007.103</t>
  </si>
  <si>
    <t xml:space="preserve">R1908</t>
  </si>
  <si>
    <t xml:space="preserve">On co-existence of in-band UWB-OFDM and GPS signals: Tracking performance analysis</t>
  </si>
  <si>
    <t xml:space="preserve">10.1109/PLANS.2008.4570090</t>
  </si>
  <si>
    <t xml:space="preserve">R1909</t>
  </si>
  <si>
    <t xml:space="preserve">Aircraft voice intercommunications system design for Project Oculus</t>
  </si>
  <si>
    <t xml:space="preserve">10.1117/12.666097</t>
  </si>
  <si>
    <t xml:space="preserve">R1910</t>
  </si>
  <si>
    <t xml:space="preserve">Integrating critical interface elements for intuitive single-display aviation control of UAVs</t>
  </si>
  <si>
    <t xml:space="preserve">10.1117/12.666341</t>
  </si>
  <si>
    <t xml:space="preserve">R1911</t>
  </si>
  <si>
    <t xml:space="preserve">Joint control to improve spatial reuse for mobile ad hoc networks</t>
  </si>
  <si>
    <t xml:space="preserve">10.1109/WiCom.2008.588</t>
  </si>
  <si>
    <t xml:space="preserve">R1912</t>
  </si>
  <si>
    <t xml:space="preserve">Molecular communication - A biochemically-engineered communication system -</t>
  </si>
  <si>
    <t xml:space="preserve">10.1109/FBIT.2007.120</t>
  </si>
  <si>
    <t xml:space="preserve">R1913</t>
  </si>
  <si>
    <t xml:space="preserve">Efficient design of block adaptive equalization and diversity combining for space-time block-coded single-carrier systems</t>
  </si>
  <si>
    <t xml:space="preserve">10.1109/TWC.2008.060978</t>
  </si>
  <si>
    <t xml:space="preserve">R1914</t>
  </si>
  <si>
    <t xml:space="preserve">Effect of carrier frequency offset and phase noise on the performance of WFMT systems</t>
  </si>
  <si>
    <t xml:space="preserve">10.1109/ISCIT.2006.339824</t>
  </si>
  <si>
    <t xml:space="preserve">R1915</t>
  </si>
  <si>
    <t xml:space="preserve">Carrier frequency offset compensation for distributed MIMO OFDM systems</t>
  </si>
  <si>
    <t xml:space="preserve">10.1109/VETECF.2008.282</t>
  </si>
  <si>
    <t xml:space="preserve">R1916</t>
  </si>
  <si>
    <t xml:space="preserve">Dependability evaluation and modeling of the bluetooth data communication channel</t>
  </si>
  <si>
    <t xml:space="preserve">10.1109/PDP.2008.43</t>
  </si>
  <si>
    <t xml:space="preserve">R1917</t>
  </si>
  <si>
    <t xml:space="preserve">Integrated defense system framework and high fidelity hardware-in-the-loop sensor stimulators</t>
  </si>
  <si>
    <t xml:space="preserve">10.1117/12.782450</t>
  </si>
  <si>
    <t xml:space="preserve">R1918</t>
  </si>
  <si>
    <t xml:space="preserve">Guard-interval mode detection method for the Chinese DTTB system</t>
  </si>
  <si>
    <t xml:space="preserve">10.1109/ICCCAS.2008.4657762</t>
  </si>
  <si>
    <t xml:space="preserve">R1919</t>
  </si>
  <si>
    <t xml:space="preserve">Coded space-time single carrier transmission with MMSE MIMO turbo equalization</t>
  </si>
  <si>
    <t xml:space="preserve">10.1109/ISWCS.2006.4362337</t>
  </si>
  <si>
    <t xml:space="preserve">R1920</t>
  </si>
  <si>
    <t xml:space="preserve">Forward link performance of data packet transmission in an aeronautical CDMA cellular system</t>
  </si>
  <si>
    <t xml:space="preserve">10.1093/ietcom/E88-B.2.826</t>
  </si>
  <si>
    <t xml:space="preserve">R1921</t>
  </si>
  <si>
    <t xml:space="preserve">Downlink resource allocation in multi-carrier systems: Frequency-selective vs. equal power allocation</t>
  </si>
  <si>
    <t xml:space="preserve">10.1109/WOWMOM.2007.4351764</t>
  </si>
  <si>
    <t xml:space="preserve">R1922</t>
  </si>
  <si>
    <t xml:space="preserve">Performance of random spreading MC-CDMA in the presence of multiple interferences and doppler shift</t>
  </si>
  <si>
    <t xml:space="preserve">10.1109/WOCN.2007.4284216</t>
  </si>
  <si>
    <t xml:space="preserve">R1923</t>
  </si>
  <si>
    <t xml:space="preserve">Low data rate ultra-wideband transceiver testbed for 6.0-8.5 GHz communications using commercial-off-the-shelf components</t>
  </si>
  <si>
    <t xml:space="preserve">10.1109/ICUWB.2008.4653304</t>
  </si>
  <si>
    <t xml:space="preserve">R1924</t>
  </si>
  <si>
    <t xml:space="preserve">Distance education in the business aviation industry: Issues and opportunities</t>
  </si>
  <si>
    <t xml:space="preserve">10.4018/jdet.2005010102</t>
  </si>
  <si>
    <t xml:space="preserve">R1925</t>
  </si>
  <si>
    <t xml:space="preserve">Evaluation of all-optical demultiplexing in millimeter-wave subcarrier-system for wireless communication</t>
  </si>
  <si>
    <t xml:space="preserve">10.1109/MWP.2006.346514</t>
  </si>
  <si>
    <t xml:space="preserve">R1926</t>
  </si>
  <si>
    <t xml:space="preserve">Ultra-fast bandgap photonics: Sensing and counter-sensing capabilities</t>
  </si>
  <si>
    <t xml:space="preserve">10.1117/12.786815</t>
  </si>
  <si>
    <t xml:space="preserve">R1927</t>
  </si>
  <si>
    <t xml:space="preserve">All-optical frequency conversion using nonlinear dynamics of semiconductor lasers subject to external optical injection</t>
  </si>
  <si>
    <t xml:space="preserve">10.1117/12.781218</t>
  </si>
  <si>
    <t xml:space="preserve">R1928</t>
  </si>
  <si>
    <t xml:space="preserve">Effects of underwater communication constraints on the control of marine robot teams</t>
  </si>
  <si>
    <t xml:space="preserve">R1929</t>
  </si>
  <si>
    <t xml:space="preserve">Channel State and Receiver State feedback for frequency-selective block fading channels</t>
  </si>
  <si>
    <t xml:space="preserve">10.1109/ISIT.2008.4594990</t>
  </si>
  <si>
    <t xml:space="preserve">R1930</t>
  </si>
  <si>
    <t xml:space="preserve">A scheme of fractional modulation for wireless OFDM</t>
  </si>
  <si>
    <t xml:space="preserve">10.1109/SCVT.2006.334373</t>
  </si>
  <si>
    <t xml:space="preserve">R1931</t>
  </si>
  <si>
    <t xml:space="preserve">Time and angle of arrival statistics of mobile-to-mobile communication channel employing circular scattering model</t>
  </si>
  <si>
    <t xml:space="preserve">10.4103/0377-2063.59166</t>
  </si>
  <si>
    <t xml:space="preserve">R1933</t>
  </si>
  <si>
    <t xml:space="preserve">Green-intelli travel service for public transit based on context awareness</t>
  </si>
  <si>
    <t xml:space="preserve">10.1109/ISCIT.2009.5341244</t>
  </si>
  <si>
    <t xml:space="preserve">R1934</t>
  </si>
  <si>
    <t xml:space="preserve">Iterative frequency domain equalization for DQPSK signals</t>
  </si>
  <si>
    <t xml:space="preserve">10.1109/ISCIT.2007.4392127</t>
  </si>
  <si>
    <t xml:space="preserve">R1935</t>
  </si>
  <si>
    <t xml:space="preserve">Implementation and experimental results of rotational OFDM transmission - Rotational OFDM performance with turbo decoder</t>
  </si>
  <si>
    <t xml:space="preserve">10.1109/VETECF.2008.218</t>
  </si>
  <si>
    <t xml:space="preserve">R1936</t>
  </si>
  <si>
    <t xml:space="preserve">Wireless, the way to conduct testing and diagnostics</t>
  </si>
  <si>
    <t xml:space="preserve">10.1109/AUTEST.2007.4374286</t>
  </si>
  <si>
    <t xml:space="preserve">R1937</t>
  </si>
  <si>
    <t xml:space="preserve">The effect of coding on OFDM and Single Carrier Transmission with Decision Feedback Equalizer</t>
  </si>
  <si>
    <t xml:space="preserve">10.1109/CNSR.2008.40</t>
  </si>
  <si>
    <t xml:space="preserve">R1938</t>
  </si>
  <si>
    <t xml:space="preserve">A time-domain block equalization scheme on SIMO frequency selective channels</t>
  </si>
  <si>
    <t xml:space="preserve">10.1109/TENCON.2007.4428938</t>
  </si>
  <si>
    <t xml:space="preserve">R1939</t>
  </si>
  <si>
    <t xml:space="preserve">QoS support in ARINC 664 P8 data networks: ATN applications over TCP/IP ground-to-ground subnetworks</t>
  </si>
  <si>
    <t xml:space="preserve">10.2514/1.18661</t>
  </si>
  <si>
    <t xml:space="preserve">R1940</t>
  </si>
  <si>
    <t xml:space="preserve">Design and implementation of underwater OFDM acoustic communication transmitter</t>
  </si>
  <si>
    <t xml:space="preserve">10.1109/ICALIP.2008.4590192</t>
  </si>
  <si>
    <t xml:space="preserve">R1941</t>
  </si>
  <si>
    <t xml:space="preserve">Security research from a multi-disciplinary and multi-sectoral perspective</t>
  </si>
  <si>
    <t xml:space="preserve">10.1007/11563228_29</t>
  </si>
  <si>
    <t xml:space="preserve">R1942</t>
  </si>
  <si>
    <t xml:space="preserve">Objective and automatic estimation of excess taxi-times</t>
  </si>
  <si>
    <t xml:space="preserve">10.1109/ICNSURV.2008.4559197</t>
  </si>
  <si>
    <t xml:space="preserve">R1943</t>
  </si>
  <si>
    <t xml:space="preserve">A subcarriers allocation scheme for cognitive radio systems based on multi-carrier modulation</t>
  </si>
  <si>
    <t xml:space="preserve">10.1109/TWC.2008.070372</t>
  </si>
  <si>
    <t xml:space="preserve">R1944</t>
  </si>
  <si>
    <t xml:space="preserve">THz instrumentation for the herschel space observatory's heterodyne instrument for far infrared</t>
  </si>
  <si>
    <t xml:space="preserve">10.1117/12.552397</t>
  </si>
  <si>
    <t xml:space="preserve">R1945</t>
  </si>
  <si>
    <t xml:space="preserve">An analytical model for end-to-end communication channel over PLCN based on QBDs</t>
  </si>
  <si>
    <t xml:space="preserve">10.1016/j.ipl.2009.09.009</t>
  </si>
  <si>
    <t xml:space="preserve">R1946</t>
  </si>
  <si>
    <t xml:space="preserve">Sensor data collection using heterogeneous mobile devices</t>
  </si>
  <si>
    <t xml:space="preserve">10.1109/PERSER.2007.4283908</t>
  </si>
  <si>
    <t xml:space="preserve">R1947</t>
  </si>
  <si>
    <t xml:space="preserve">A new beamforming method for MIMO-OFDM systems</t>
  </si>
  <si>
    <t xml:space="preserve">10.1109/CISP.2008.549</t>
  </si>
  <si>
    <t xml:space="preserve">R1949</t>
  </si>
  <si>
    <t xml:space="preserve">Implementation of frequency domain equalizer for single carrier transmission</t>
  </si>
  <si>
    <t xml:space="preserve">10.1109/WiCom.2008.475</t>
  </si>
  <si>
    <t xml:space="preserve">R1950</t>
  </si>
  <si>
    <t xml:space="preserve">Iterative joint decoding and sparse channel estimation for single-carrier modulation</t>
  </si>
  <si>
    <t xml:space="preserve">10.1109/ICASSP.2008.4518203</t>
  </si>
  <si>
    <t xml:space="preserve">R1951</t>
  </si>
  <si>
    <t xml:space="preserve">Leveraging the command and control resource management system to enhance collaboration within the Air Operations Center</t>
  </si>
  <si>
    <t xml:space="preserve">10.1109/CTS.2008.4543929</t>
  </si>
  <si>
    <t xml:space="preserve">R1952</t>
  </si>
  <si>
    <t xml:space="preserve">Dynamic range improvement for transmission of optical single sideband signals with simultaneous baseband transmission for access networks</t>
  </si>
  <si>
    <t xml:space="preserve">10.1109/MWP.2006.346520</t>
  </si>
  <si>
    <t xml:space="preserve">R1953</t>
  </si>
  <si>
    <t xml:space="preserve">Next generation of thales ADS-B ground stations - Supporting the US surveillance broadcasting services system program</t>
  </si>
  <si>
    <t xml:space="preserve">10.1109/TIWDC.2008.4649047</t>
  </si>
  <si>
    <t xml:space="preserve">R1954</t>
  </si>
  <si>
    <t xml:space="preserve">PIC receiver for MEMO MC-CDMA systems based on LCRLSCMA</t>
  </si>
  <si>
    <t xml:space="preserve">10.1109/WiCom.2008.131</t>
  </si>
  <si>
    <t xml:space="preserve">R1955</t>
  </si>
  <si>
    <t xml:space="preserve">An error protection protocol for user-transparent bridging of fast ethernet data transmission over the optical fading channel in an aeronautical environment</t>
  </si>
  <si>
    <t xml:space="preserve">10.1117/12.763316</t>
  </si>
  <si>
    <t xml:space="preserve">R1956</t>
  </si>
  <si>
    <t xml:space="preserve">An improved ICI reduction technique for OFDM system using co-ordinate interleaving</t>
  </si>
  <si>
    <t xml:space="preserve">10.1109/ICIAS.2007.4658409</t>
  </si>
  <si>
    <t xml:space="preserve">R1957</t>
  </si>
  <si>
    <t xml:space="preserve">A robust approach to channel estimation and detection for multicarrier systems</t>
  </si>
  <si>
    <t xml:space="preserve">10.1109/ICC.2008.109</t>
  </si>
  <si>
    <t xml:space="preserve">R1958</t>
  </si>
  <si>
    <t xml:space="preserve">Building IP networks using Advanced Telecom Computing Architecture</t>
  </si>
  <si>
    <t xml:space="preserve">10.1109/ICNS.2007.42</t>
  </si>
  <si>
    <t xml:space="preserve">R1959</t>
  </si>
  <si>
    <t xml:space="preserve">To enhance bit rate in orthogonal frequency division multiplexing by carrier interferometry spreading code</t>
  </si>
  <si>
    <t xml:space="preserve">10.1109/ICCITECHN.2007.4579449</t>
  </si>
  <si>
    <t xml:space="preserve">R1960</t>
  </si>
  <si>
    <t xml:space="preserve">Arrival management with required navigation performance and 3D PATHS</t>
  </si>
  <si>
    <t xml:space="preserve">R1961</t>
  </si>
  <si>
    <t xml:space="preserve">Modeling and simulation of reliability of unmanned intelligent vehicles</t>
  </si>
  <si>
    <t xml:space="preserve">10.1117/12.771515</t>
  </si>
  <si>
    <t xml:space="preserve">R1963</t>
  </si>
  <si>
    <t xml:space="preserve">A summary of the new GPS IIR-M and IIF modernization signals</t>
  </si>
  <si>
    <t xml:space="preserve">R1964</t>
  </si>
  <si>
    <t xml:space="preserve">Digital frequency domain multiplexer for mm-wavelength telescopes</t>
  </si>
  <si>
    <t xml:space="preserve">10.1109/RTC.2007.4382760</t>
  </si>
  <si>
    <t xml:space="preserve">R1965</t>
  </si>
  <si>
    <t xml:space="preserve">Analysis of team communication and collaboration in En-route air traffic control</t>
  </si>
  <si>
    <t xml:space="preserve">10.1007/978-3-642-02559-4_82</t>
  </si>
  <si>
    <t xml:space="preserve">R1966</t>
  </si>
  <si>
    <t xml:space="preserve">Gate-to-gate with modernized GPS, GALILEO and GBAS - harmonization of precision approach performance requirements</t>
  </si>
  <si>
    <t xml:space="preserve">R1967</t>
  </si>
  <si>
    <t xml:space="preserve">Evaluation of a new approach for the design of generic 4D guidance systems</t>
  </si>
  <si>
    <t xml:space="preserve">R1968</t>
  </si>
  <si>
    <t xml:space="preserve">A multi-AP architecture for high-density WLANs: Protocol design and experimental evaluation</t>
  </si>
  <si>
    <t xml:space="preserve">10.1109/SAHCN.2008.14</t>
  </si>
  <si>
    <t xml:space="preserve">R1969</t>
  </si>
  <si>
    <t xml:space="preserve">Wiener feedback filtering for suppression of residual ISI and correlated noise in MC-CDMA</t>
  </si>
  <si>
    <t xml:space="preserve">10.1109/SCVT.2007.4436262</t>
  </si>
  <si>
    <t xml:space="preserve">R1971</t>
  </si>
  <si>
    <t xml:space="preserve">Low cost wireless internet access for rural areas using tethered aerostats</t>
  </si>
  <si>
    <t xml:space="preserve">10.1109/ICIINFS.2008.4798405</t>
  </si>
  <si>
    <t xml:space="preserve">R1972</t>
  </si>
  <si>
    <t xml:space="preserve">A novel approach for 4G communication system: Multicarrier interleave-divison multiple-access</t>
  </si>
  <si>
    <t xml:space="preserve">R1973</t>
  </si>
  <si>
    <t xml:space="preserve">MLCD: Overview of NASA's Mars laser communications demonstration system</t>
  </si>
  <si>
    <t xml:space="preserve">10.1117/12.543014</t>
  </si>
  <si>
    <t xml:space="preserve">R1974</t>
  </si>
  <si>
    <t xml:space="preserve">An all digital implementation of M-VSB modem using advanced digital signal processing techniques</t>
  </si>
  <si>
    <t xml:space="preserve">10.1109/SPAWC.2006.346372</t>
  </si>
  <si>
    <t xml:space="preserve">R1975</t>
  </si>
  <si>
    <t xml:space="preserve">Performance of multi-amplitude Minimum Shift Keying (N-MSK) with Orthogonal Frequency Division Multiplexing (OFDM)</t>
  </si>
  <si>
    <t xml:space="preserve">10.1109/EURCON.2007.4400355</t>
  </si>
  <si>
    <t xml:space="preserve">R1976</t>
  </si>
  <si>
    <t xml:space="preserve">Blind carrier phase estimation for non-equiprobable constellations</t>
  </si>
  <si>
    <t xml:space="preserve">10.1109/SPAWC.2006.346363</t>
  </si>
  <si>
    <t xml:space="preserve">R1977</t>
  </si>
  <si>
    <t xml:space="preserve">The air transportation system</t>
  </si>
  <si>
    <t xml:space="preserve">10.2514/1.14785</t>
  </si>
  <si>
    <t xml:space="preserve">R1978</t>
  </si>
  <si>
    <t xml:space="preserve">OFDM receiver for long multipath interferences via frequency-domain identification approach</t>
  </si>
  <si>
    <t xml:space="preserve">R1979</t>
  </si>
  <si>
    <t xml:space="preserve">ACAS-monitoring of 1 000 000 flight hours in the North German Airspace</t>
  </si>
  <si>
    <t xml:space="preserve">10.1109/TIWDC.2008.4649028</t>
  </si>
  <si>
    <t xml:space="preserve">R1980</t>
  </si>
  <si>
    <t xml:space="preserve">Distributing net-enabled federal aviation adminstration (FAA) weather data</t>
  </si>
  <si>
    <t xml:space="preserve">10.1109/ICNSURV.2008.4559189</t>
  </si>
  <si>
    <t xml:space="preserve">R1981</t>
  </si>
  <si>
    <t xml:space="preserve">Efficient sequence detection of multi-carrier transmissions over doubly dispersive channels</t>
  </si>
  <si>
    <t xml:space="preserve">10.1109/SPAWC.2006.346408</t>
  </si>
  <si>
    <t xml:space="preserve">R1982</t>
  </si>
  <si>
    <t xml:space="preserve">Visually coupled acquisition targeting system: The seven year flight history</t>
  </si>
  <si>
    <t xml:space="preserve">10.1117/12.602736</t>
  </si>
  <si>
    <t xml:space="preserve">R1983</t>
  </si>
  <si>
    <t xml:space="preserve">Co-Operative Air Traffic Management: A technology enabled concept for the next generation air transportation system</t>
  </si>
  <si>
    <t xml:space="preserve">R1984</t>
  </si>
  <si>
    <t xml:space="preserve">NEMO route optimization solution space analysis and evaluation criteria for aviation</t>
  </si>
  <si>
    <t xml:space="preserve">10.1109/ITST.2008.4740244</t>
  </si>
  <si>
    <t xml:space="preserve">R1985</t>
  </si>
  <si>
    <t xml:space="preserve">Aircraft control strategies in a distributed cooperative mission simulation environment</t>
  </si>
  <si>
    <t xml:space="preserve">R1986</t>
  </si>
  <si>
    <t xml:space="preserve">Low complexity blind estimation of the carrier frequency offset in multicarrier systems</t>
  </si>
  <si>
    <t xml:space="preserve">10.1109/ICASSP.2008.4518292</t>
  </si>
  <si>
    <t xml:space="preserve">R1987</t>
  </si>
  <si>
    <t xml:space="preserve">Image segmentation for binocular stereoscopic dual-energy x-ray imaging</t>
  </si>
  <si>
    <t xml:space="preserve">10.1117/1.2135790</t>
  </si>
  <si>
    <t xml:space="preserve">R1988</t>
  </si>
  <si>
    <t xml:space="preserve">On maximum-likelihood equalization of doubly selective channels</t>
  </si>
  <si>
    <t xml:space="preserve">10.1109/ISSPA.2007.4555488</t>
  </si>
  <si>
    <t xml:space="preserve">R1989</t>
  </si>
  <si>
    <t xml:space="preserve">Experimental comparison of robotics locomotion with passive tether and active tether</t>
  </si>
  <si>
    <t xml:space="preserve">10.1109/SSRR.2009.5424151</t>
  </si>
  <si>
    <t xml:space="preserve">R1990</t>
  </si>
  <si>
    <t xml:space="preserve">A power efficient continuous phase modulation - single carrier FDMA transmission scheme</t>
  </si>
  <si>
    <t xml:space="preserve">10.1109/WTS.2008.4547574</t>
  </si>
  <si>
    <t xml:space="preserve">R1991</t>
  </si>
  <si>
    <t xml:space="preserve">Iterative weighting factor estimation method for peak power reduction with adaptive subcarrier-phase control in turbo-coded multi-carrier CDM systems</t>
  </si>
  <si>
    <t xml:space="preserve">10.1109/VETECF.2008.201</t>
  </si>
  <si>
    <t xml:space="preserve">R1992</t>
  </si>
  <si>
    <t xml:space="preserve">Image data encryption and hiding based on wavelet packet transform and bit planes decomposition</t>
  </si>
  <si>
    <t xml:space="preserve">10.1109/WiCom.2008.773</t>
  </si>
  <si>
    <t xml:space="preserve">R1993</t>
  </si>
  <si>
    <t xml:space="preserve">Image transmission through MC-CDMA channel: An image quality evaluation</t>
  </si>
  <si>
    <t xml:space="preserve">10.1142/S0219691308002707</t>
  </si>
  <si>
    <t xml:space="preserve">R1994</t>
  </si>
  <si>
    <t xml:space="preserve">A phase-based approach for on-chip bus architecture optimization</t>
  </si>
  <si>
    <t xml:space="preserve">10.1093/comjnl/bxn059</t>
  </si>
  <si>
    <t xml:space="preserve">R1995</t>
  </si>
  <si>
    <t xml:space="preserve">Start with standards</t>
  </si>
  <si>
    <t xml:space="preserve">10.1109/ICNSURV.2008.4559203</t>
  </si>
  <si>
    <t xml:space="preserve">R1996</t>
  </si>
  <si>
    <t xml:space="preserve">Flexible communication architecture for dependable time-triggered systems</t>
  </si>
  <si>
    <t xml:space="preserve">10.1007/978-3-540-74035-3_14</t>
  </si>
  <si>
    <t xml:space="preserve">R1997</t>
  </si>
  <si>
    <t xml:space="preserve">Effective communication of warnings and critical information: Application of accessible design methods to auditory warnings</t>
  </si>
  <si>
    <t xml:space="preserve">R1998</t>
  </si>
  <si>
    <t xml:space="preserve">Performance validation of carrier super-positioning satellite system with multi-component code</t>
  </si>
  <si>
    <t xml:space="preserve">10.1109/AICT.2008.73</t>
  </si>
  <si>
    <t xml:space="preserve">R1999</t>
  </si>
  <si>
    <t xml:space="preserve">Design and test of a carrier interferometry OFDM system in underwater acoustic channels</t>
  </si>
  <si>
    <t xml:space="preserve">10.1109/ICCCAS.2008.4657747</t>
  </si>
  <si>
    <t xml:space="preserve">R2000</t>
  </si>
  <si>
    <t xml:space="preserve">Carrier phase synchronization of multiple distributed nodes in a wireless network</t>
  </si>
  <si>
    <t xml:space="preserve">R2001</t>
  </si>
  <si>
    <t xml:space="preserve">Capacity as a consideration for providing aeronautical mobile satellite air traffic services in the U.S. domestic airspace</t>
  </si>
  <si>
    <t xml:space="preserve">R2002</t>
  </si>
  <si>
    <t xml:space="preserve">Session 15: Man-machine interaction: 15.1: Computer-aided programmed techniques in support of military information systems</t>
  </si>
  <si>
    <t xml:space="preserve">R2003</t>
  </si>
  <si>
    <t xml:space="preserve">Broadband reconfigurable optical beamforming systems</t>
  </si>
  <si>
    <t xml:space="preserve">10.1117/12.177335</t>
  </si>
  <si>
    <t xml:space="preserve">R2004</t>
  </si>
  <si>
    <t xml:space="preserve">Maximizing benefits of technology: a strategy for air traffic control requirements definition</t>
  </si>
  <si>
    <t xml:space="preserve">10.1117/12.211491</t>
  </si>
  <si>
    <t xml:space="preserve">R2005</t>
  </si>
  <si>
    <t xml:space="preserve">GPS offers the ideal technique for postmission training evaluation</t>
  </si>
  <si>
    <t xml:space="preserve">R2006</t>
  </si>
  <si>
    <t xml:space="preserve">Automated detection of microburst windshear for terminal Doppler weather radar</t>
  </si>
  <si>
    <t xml:space="preserve">10.1117/12.942645</t>
  </si>
  <si>
    <t xml:space="preserve">R2007</t>
  </si>
  <si>
    <t xml:space="preserve">Helmets: Conventional to cueing</t>
  </si>
  <si>
    <t xml:space="preserve">10.1117/12.488042</t>
  </si>
  <si>
    <t xml:space="preserve">R2008</t>
  </si>
  <si>
    <t xml:space="preserve">INTEGRATED COMMUNICATIONS - NAVIGATION IDENTIFICATION AVIONICS MOVES INTO THE NEXT GENERATION AVIONICS.</t>
  </si>
  <si>
    <t xml:space="preserve">R2009</t>
  </si>
  <si>
    <t xml:space="preserve">Civil aviation's next generation global surveillance and guidance system</t>
  </si>
  <si>
    <t xml:space="preserve">R2010</t>
  </si>
  <si>
    <t xml:space="preserve">Joint navy and air force infrared sensor stimulator (IRSS) program installed systems test facilities (ISTFs)</t>
  </si>
  <si>
    <t xml:space="preserve">R2011</t>
  </si>
  <si>
    <t xml:space="preserve">Advanced landing guidance with global surveillance and navigation</t>
  </si>
  <si>
    <t xml:space="preserve">R2012</t>
  </si>
  <si>
    <t xml:space="preserve">Anatomy of a System Accident: The Crash of Avianca Flight 052</t>
  </si>
  <si>
    <t xml:space="preserve">10.1207/s15327108ijap0403_4</t>
  </si>
  <si>
    <t xml:space="preserve">R2013</t>
  </si>
  <si>
    <t xml:space="preserve">Adaptive priority timer control of the SAE LTPB for fair prioritization in military avionics networks</t>
  </si>
  <si>
    <t xml:space="preserve">10.1016/0140-3664(95)99802-J</t>
  </si>
  <si>
    <t xml:space="preserve">R2014</t>
  </si>
  <si>
    <t xml:space="preserve">The Communications Adaptive Design and RFI Environment (CADRE) tool for radio system design</t>
  </si>
  <si>
    <t xml:space="preserve">R2015</t>
  </si>
  <si>
    <t xml:space="preserve">I/O interfacing for the transputer</t>
  </si>
  <si>
    <t xml:space="preserve">10.1109/SSST.1991.138611</t>
  </si>
  <si>
    <t xml:space="preserve">R2016</t>
  </si>
  <si>
    <t xml:space="preserve">The Symbolics SCOPE System as a platform for environmental analysis</t>
  </si>
  <si>
    <t xml:space="preserve">10.1117/12.942672</t>
  </si>
  <si>
    <t xml:space="preserve">R2017</t>
  </si>
  <si>
    <t xml:space="preserve">The Communications Adaptive Design and RFI Environment (CADRE) tool for broadcast networking simulation</t>
  </si>
  <si>
    <t xml:space="preserve">R2018</t>
  </si>
  <si>
    <t xml:space="preserve">Upstream HFC channel modeling and physical layer design</t>
  </si>
  <si>
    <t xml:space="preserve">10.1117/12.257332</t>
  </si>
  <si>
    <t xml:space="preserve">R2019</t>
  </si>
  <si>
    <t xml:space="preserve">Satellite communication network of automated air-transportation control system AC 'sirena-3'</t>
  </si>
  <si>
    <t xml:space="preserve">R2021</t>
  </si>
  <si>
    <t xml:space="preserve">Air force smart structures/skins program overview</t>
  </si>
  <si>
    <t xml:space="preserve">10.1117/12.948884</t>
  </si>
  <si>
    <t xml:space="preserve">R2022</t>
  </si>
  <si>
    <t xml:space="preserve">A CSMA/CD portable data system using adaptive reed-solomon coding</t>
  </si>
  <si>
    <t xml:space="preserve">10.1109/VETEC.1992.245300</t>
  </si>
  <si>
    <t xml:space="preserve">R2023</t>
  </si>
  <si>
    <t xml:space="preserve">Low cost technologies for aerospace applications</t>
  </si>
  <si>
    <t xml:space="preserve">10.1016/S0141-9331(96)01109-X</t>
  </si>
  <si>
    <t xml:space="preserve">R2024</t>
  </si>
  <si>
    <t xml:space="preserve">Digital channelizer/demodulator for low cost broadband satellite systems</t>
  </si>
  <si>
    <t xml:space="preserve">10.2514/6.2002-1889</t>
  </si>
  <si>
    <t xml:space="preserve">R2025</t>
  </si>
  <si>
    <t xml:space="preserve">High-speed internet access via stratospheric HALO aircraft</t>
  </si>
  <si>
    <t xml:space="preserve">10.1109/ETS.2000.916527</t>
  </si>
  <si>
    <t xml:space="preserve">R2026</t>
  </si>
  <si>
    <t xml:space="preserve">Logistics control and information support (LOCIS)</t>
  </si>
  <si>
    <t xml:space="preserve">R2027</t>
  </si>
  <si>
    <t xml:space="preserve">Concept for an optionally piloted vehicle system</t>
  </si>
  <si>
    <t xml:space="preserve">10.1117/12.140835</t>
  </si>
  <si>
    <t xml:space="preserve">R2028</t>
  </si>
  <si>
    <t xml:space="preserve">Use of GBAS ground facilities in a regional network</t>
  </si>
  <si>
    <t xml:space="preserve">R2029</t>
  </si>
  <si>
    <t xml:space="preserve">Specifying the mode logic of a Flight Guidance System in CoRE and SCR</t>
  </si>
  <si>
    <t xml:space="preserve">10.1145/298595.298856</t>
  </si>
  <si>
    <t xml:space="preserve">R2030</t>
  </si>
  <si>
    <t xml:space="preserve">Spectrum response: the future of directed energy in aerospace</t>
  </si>
  <si>
    <t xml:space="preserve">10.1117/12.391895</t>
  </si>
  <si>
    <t xml:space="preserve">R2031</t>
  </si>
  <si>
    <t xml:space="preserve">The relationship between three-dimensional imaging and group decision making: An exploratory study</t>
  </si>
  <si>
    <t xml:space="preserve">10.1109/3468.594908</t>
  </si>
  <si>
    <t xml:space="preserve">R2032</t>
  </si>
  <si>
    <t xml:space="preserve">TAKEOFF FOR AERONAUTICAL SATELLITE COMMUNICATIONS SERVICES.</t>
  </si>
  <si>
    <t xml:space="preserve">R2033</t>
  </si>
  <si>
    <t xml:space="preserve">Believe in the model: Mishandle the emergency</t>
  </si>
  <si>
    <t xml:space="preserve">R2034</t>
  </si>
  <si>
    <t xml:space="preserve">EGNOS: European satellite navigation system</t>
  </si>
  <si>
    <t xml:space="preserve">R2035</t>
  </si>
  <si>
    <t xml:space="preserve">Cooperative problem-solving activities in flight planning and constraints for commercial aircraft</t>
  </si>
  <si>
    <t xml:space="preserve">R2036</t>
  </si>
  <si>
    <t xml:space="preserve">Sensor fusion with application to Electronic Warfare</t>
  </si>
  <si>
    <t xml:space="preserve">10.1117/12.341334</t>
  </si>
  <si>
    <t xml:space="preserve">R2037</t>
  </si>
  <si>
    <t xml:space="preserve">Covert non-line of sight communication links for small unmanned ground vehicles</t>
  </si>
  <si>
    <t xml:space="preserve">10.1117/12.440001</t>
  </si>
  <si>
    <t xml:space="preserve">R2038</t>
  </si>
  <si>
    <t xml:space="preserve">Sensors and systems to enhance aviation safety against weather hazards</t>
  </si>
  <si>
    <t xml:space="preserve">10.1109/5.97295</t>
  </si>
  <si>
    <t xml:space="preserve">R2039</t>
  </si>
  <si>
    <t xml:space="preserve">A simulation study of the communications performance of the Federal Aviation Administration Mode Select Beacon System for air traffic control</t>
  </si>
  <si>
    <t xml:space="preserve">R2041</t>
  </si>
  <si>
    <t xml:space="preserve">Development of an Integrated Network Manager for Heterogeneous Networks Using OSI Standards and Object-Oriented Techniques</t>
  </si>
  <si>
    <t xml:space="preserve">10.1109/49.310967</t>
  </si>
  <si>
    <t xml:space="preserve">R2042</t>
  </si>
  <si>
    <t xml:space="preserve">Integration of air/ground data links</t>
  </si>
  <si>
    <t xml:space="preserve">R2043</t>
  </si>
  <si>
    <t xml:space="preserve">Development of a laser diode clipping model</t>
  </si>
  <si>
    <t xml:space="preserve">10.1117/12.257336</t>
  </si>
  <si>
    <t xml:space="preserve">R2044</t>
  </si>
  <si>
    <t xml:space="preserve">Gulf of Mexico Buoy Communication System</t>
  </si>
  <si>
    <t xml:space="preserve">10.1117/12.241068</t>
  </si>
  <si>
    <t xml:space="preserve">R2045</t>
  </si>
  <si>
    <t xml:space="preserve">SITING ANALYSIS FOR LORAN-C OPERATIONAL MONITOR DEPLOYMENT.</t>
  </si>
  <si>
    <t xml:space="preserve">R2046</t>
  </si>
  <si>
    <t xml:space="preserve">Using digital information on the shop floor: Requirements from the technician's perspective</t>
  </si>
  <si>
    <t xml:space="preserve">R2047</t>
  </si>
  <si>
    <t xml:space="preserve">INMARSAT and the Future of Mobile Satellite Services</t>
  </si>
  <si>
    <t xml:space="preserve">10.1109/JSAC.1987.1146581</t>
  </si>
  <si>
    <t xml:space="preserve">R2048</t>
  </si>
  <si>
    <t xml:space="preserve">GPS and a modern data link supporting the synthetic battlefield</t>
  </si>
  <si>
    <t xml:space="preserve">R2049</t>
  </si>
  <si>
    <t xml:space="preserve">Ranging and processing satellite (RAPSAT)</t>
  </si>
  <si>
    <t xml:space="preserve">R2050</t>
  </si>
  <si>
    <t xml:space="preserve">Modeling and analysis of human interactions with and within complex systems</t>
  </si>
  <si>
    <t xml:space="preserve">R2051</t>
  </si>
  <si>
    <t xml:space="preserve">Effects of data-link modality and display redundancy on pilot performance: An attentional perspective</t>
  </si>
  <si>
    <t xml:space="preserve">10.1207/S15327108IJAP1303_01</t>
  </si>
  <si>
    <t xml:space="preserve">R2052</t>
  </si>
  <si>
    <t xml:space="preserve">HIGH-CAPACITY AERONAUTICAL MOBILE SATELLITE SYSTEM.</t>
  </si>
  <si>
    <t xml:space="preserve">R2053</t>
  </si>
  <si>
    <t xml:space="preserve">A hybrid satellite-terrestrial approach to aeronautical communication networks</t>
  </si>
  <si>
    <t xml:space="preserve">10.2514/6.2000-1213</t>
  </si>
  <si>
    <t xml:space="preserve">R2054</t>
  </si>
  <si>
    <t xml:space="preserve">Airborne information initiatives: Capitalizing on a multi-purpose broadcast communications architecture</t>
  </si>
  <si>
    <t xml:space="preserve">10.1117/12.241067</t>
  </si>
  <si>
    <t xml:space="preserve">R2055</t>
  </si>
  <si>
    <t xml:space="preserve">Civil aviation's next generation global CNS/ATM system</t>
  </si>
  <si>
    <t xml:space="preserve">R2057</t>
  </si>
  <si>
    <t xml:space="preserve">Loran-C receiver performance in the presence of carrier-wave interference</t>
  </si>
  <si>
    <t xml:space="preserve">10.1177/003754979306000503</t>
  </si>
  <si>
    <t xml:space="preserve">R2058</t>
  </si>
  <si>
    <t xml:space="preserve">LAAS position domain monitor analysis and failure-test verification</t>
  </si>
  <si>
    <t xml:space="preserve">R2059</t>
  </si>
  <si>
    <t xml:space="preserve">Wide area augmentation of the global positioning system per ENGE, member, IEEE, Todd Walter, Sam Pullen, Changdon Kee</t>
  </si>
  <si>
    <t xml:space="preserve">10.1109/5.533954</t>
  </si>
  <si>
    <t xml:space="preserve">R2060</t>
  </si>
  <si>
    <t xml:space="preserve">High speed signal routing holographic switching system</t>
  </si>
  <si>
    <t xml:space="preserve">10.1117/12.177321</t>
  </si>
  <si>
    <t xml:space="preserve">R2061</t>
  </si>
  <si>
    <t xml:space="preserve">Assessing technology effects on human performance through trade space development and evaluation</t>
  </si>
  <si>
    <t xml:space="preserve">R2062</t>
  </si>
  <si>
    <t xml:space="preserve">Flight conflict management system (FCMS): The design of a low altitude general aviation free flight zone, air</t>
  </si>
  <si>
    <t xml:space="preserve">10.1109/SIEDS.2003.158004</t>
  </si>
  <si>
    <t xml:space="preserve">R2063</t>
  </si>
  <si>
    <t xml:space="preserve">Mitigation of the speckle effect in incoherent lidar systems using telescope arrays</t>
  </si>
  <si>
    <t xml:space="preserve">10.1117/12.332430</t>
  </si>
  <si>
    <t xml:space="preserve">R2064</t>
  </si>
  <si>
    <t xml:space="preserve">Application of integer programming and genetic algorithms to solving the optimal frequency-assignment problem</t>
  </si>
  <si>
    <t xml:space="preserve">R2065</t>
  </si>
  <si>
    <t xml:space="preserve">`Strong and silent' machine agents: In need of improved communication and coordination skills</t>
  </si>
  <si>
    <t xml:space="preserve">R2066</t>
  </si>
  <si>
    <t xml:space="preserve">An overview of aeronautical telecommunications in Europe and world-wide</t>
  </si>
  <si>
    <t xml:space="preserve">R2067</t>
  </si>
  <si>
    <t xml:space="preserve">Remote sensing of cloud for defense and climate studies: An overview</t>
  </si>
  <si>
    <t xml:space="preserve">10.1117/12.154895</t>
  </si>
  <si>
    <t xml:space="preserve">R2068</t>
  </si>
  <si>
    <t xml:space="preserve">Optical MEMS-Based Arrays</t>
  </si>
  <si>
    <t xml:space="preserve">10.1117/12.497452</t>
  </si>
  <si>
    <t xml:space="preserve">R2069</t>
  </si>
  <si>
    <t xml:space="preserve">Global positioning technology and applications</t>
  </si>
  <si>
    <t xml:space="preserve">R2070</t>
  </si>
  <si>
    <t xml:space="preserve">Synthetic vision in the cockpit: 3D systems for general aviation</t>
  </si>
  <si>
    <t xml:space="preserve">10.1117/12.438029</t>
  </si>
  <si>
    <t xml:space="preserve">R2071</t>
  </si>
  <si>
    <t xml:space="preserve">Management challenges and techniques on a large Ada project</t>
  </si>
  <si>
    <t xml:space="preserve">10.1145/126551.126590</t>
  </si>
  <si>
    <t xml:space="preserve">R2072</t>
  </si>
  <si>
    <t xml:space="preserve">Four advanced computers-Key to air force digital data communication system</t>
  </si>
  <si>
    <t xml:space="preserve">10.1145/1460764.1460785</t>
  </si>
  <si>
    <t xml:space="preserve">R2074</t>
  </si>
  <si>
    <t xml:space="preserve">Impact of Automation on Aircrew Communication and Decision-Making Performance</t>
  </si>
  <si>
    <t xml:space="preserve">10.1207/s15327108ijap0502_2</t>
  </si>
  <si>
    <t xml:space="preserve">R2075</t>
  </si>
  <si>
    <t xml:space="preserve">The Share 709 System: A Cooperative Effort</t>
  </si>
  <si>
    <t xml:space="preserve">10.1145/320964.320966</t>
  </si>
  <si>
    <t xml:space="preserve">R2076</t>
  </si>
  <si>
    <t xml:space="preserve">Evolution of aeronautical communications for personal and multimedia services</t>
  </si>
  <si>
    <t xml:space="preserve">10.1109/MCOM.2003.1215637</t>
  </si>
  <si>
    <t xml:space="preserve">R2077</t>
  </si>
  <si>
    <t xml:space="preserve">Radiodetermination satellite service. A new path for global cooperation</t>
  </si>
  <si>
    <t xml:space="preserve">10.1016/0308-5961(87)90021-8</t>
  </si>
  <si>
    <t xml:space="preserve">R2078</t>
  </si>
  <si>
    <t xml:space="preserve">Air force space laser communications</t>
  </si>
  <si>
    <t xml:space="preserve">10.1117/12.956692</t>
  </si>
  <si>
    <t xml:space="preserve">R2079</t>
  </si>
  <si>
    <t xml:space="preserve">RF signal switching and distribution techniques in civil aviation aircraft</t>
  </si>
  <si>
    <t xml:space="preserve">10.1117/12.456363</t>
  </si>
  <si>
    <t xml:space="preserve">R2080</t>
  </si>
  <si>
    <t xml:space="preserve">Concept design for a low cost cockpit display/collision avoidance system for general aviation aircraft</t>
  </si>
  <si>
    <t xml:space="preserve">R2081</t>
  </si>
  <si>
    <t xml:space="preserve">Airport surface system architecture</t>
  </si>
  <si>
    <t xml:space="preserve">10.1117/12.241069</t>
  </si>
  <si>
    <t xml:space="preserve">R2082</t>
  </si>
  <si>
    <t xml:space="preserve">Conceptual study of a navigation and communication satellite system</t>
  </si>
  <si>
    <t xml:space="preserve">R2083</t>
  </si>
  <si>
    <t xml:space="preserve">GPS-aided navigation and unaided navigation on the joint direct attack munition</t>
  </si>
  <si>
    <t xml:space="preserve">R2084</t>
  </si>
  <si>
    <t xml:space="preserve">Deploying Connexion By Boeing SM satellite services</t>
  </si>
  <si>
    <t xml:space="preserve">R2085</t>
  </si>
  <si>
    <t xml:space="preserve">Japanese H-IIA launch vehicle family will be on service for commercial basis, the opening mission MTSAT-1R</t>
  </si>
  <si>
    <t xml:space="preserve">R2086</t>
  </si>
  <si>
    <t xml:space="preserve">Implementation of VHF data link for civil aviation in China</t>
  </si>
  <si>
    <t xml:space="preserve">R2087</t>
  </si>
  <si>
    <t xml:space="preserve">Formal Papers: Data-Link Communication Between Controllers and Pilots: A Review and Synthesis of the Simulation Literature</t>
  </si>
  <si>
    <t xml:space="preserve">10.1207/s15327108ijap0103_1</t>
  </si>
  <si>
    <t xml:space="preserve">R2088</t>
  </si>
  <si>
    <t xml:space="preserve">Overview Of air force research in optical processing for command, control, communications and intelligence (C3I)</t>
  </si>
  <si>
    <t xml:space="preserve">10.1117/12.958286</t>
  </si>
  <si>
    <t xml:space="preserve">R2089</t>
  </si>
  <si>
    <t xml:space="preserve">Extending enhanced vision capabilities by integration of Advanced Surface Movement Guidance and Control Systems (A-SMGCS)</t>
  </si>
  <si>
    <t xml:space="preserve">10.1117/12.438033</t>
  </si>
  <si>
    <t xml:space="preserve">R2090</t>
  </si>
  <si>
    <t xml:space="preserve">Capacities of simplex and duplex VHF air/ground mobile radio communication systems employing cylindrical cells</t>
  </si>
  <si>
    <t xml:space="preserve">R2091</t>
  </si>
  <si>
    <t xml:space="preserve">A novel trellis-coded modulation scheme with fractional number of bits per transmitted symbol</t>
  </si>
  <si>
    <t xml:space="preserve">10.2514/6.2002-1943</t>
  </si>
  <si>
    <t xml:space="preserve">R2092</t>
  </si>
  <si>
    <t xml:space="preserve">Singlemode fiber to singlemode GaAs channel waveguide pigtailing using dual-carrier soldering technology</t>
  </si>
  <si>
    <t xml:space="preserve">10.1117/12.283878</t>
  </si>
  <si>
    <t xml:space="preserve">R2093</t>
  </si>
  <si>
    <t xml:space="preserve">FAA's satellite program office satellite navigation program and status</t>
  </si>
  <si>
    <t xml:space="preserve">R2094</t>
  </si>
  <si>
    <t xml:space="preserve">AVIONICS MAINTENANCE 2010.</t>
  </si>
  <si>
    <t xml:space="preserve">R2095</t>
  </si>
  <si>
    <t xml:space="preserve">High Frequency Data Link (HFDL) for civil aviation: A comparison between single and multitone voiceband modems</t>
  </si>
  <si>
    <t xml:space="preserve">R2097</t>
  </si>
  <si>
    <t xml:space="preserve">The Joint Warfare System (JWARS): A modeling and analysis tool for the defense department</t>
  </si>
  <si>
    <t xml:space="preserve">10.1109/WSC.2001.977356</t>
  </si>
  <si>
    <t xml:space="preserve">R2098</t>
  </si>
  <si>
    <t xml:space="preserve">FREQUENCY-AGILE ADAPTIVE CONTROL OF AN HF AIR-TO-GROUND DATALINK.</t>
  </si>
  <si>
    <t xml:space="preserve">R2099</t>
  </si>
  <si>
    <t xml:space="preserve">Manufacturing engineering and information</t>
  </si>
  <si>
    <t xml:space="preserve">10.1145/800270.810858</t>
  </si>
  <si>
    <t xml:space="preserve">R2101</t>
  </si>
  <si>
    <t xml:space="preserve">Overview of the galaxy express launch vehicle program</t>
  </si>
  <si>
    <t xml:space="preserve">10.2514/6.2003-2262</t>
  </si>
  <si>
    <t xml:space="preserve">R2102</t>
  </si>
  <si>
    <t xml:space="preserve">Rapid targeting in support of time critical strike</t>
  </si>
  <si>
    <t xml:space="preserve">10.1117/12.451126</t>
  </si>
  <si>
    <t xml:space="preserve">R2103</t>
  </si>
  <si>
    <t xml:space="preserve">HST payload general support computers - keeping current with changes in shuttle systems</t>
  </si>
  <si>
    <t xml:space="preserve">10.2514/6.2002-1850</t>
  </si>
  <si>
    <t xml:space="preserve">R2104</t>
  </si>
  <si>
    <t xml:space="preserve">AVSAT: AN AERONAUTICAL SATELLITE COMMUNICATIONS SYSTEM.</t>
  </si>
  <si>
    <t xml:space="preserve">R2105</t>
  </si>
  <si>
    <t xml:space="preserve">Civil aviation's global necessity beyond GPS-based systems - IGSANS</t>
  </si>
  <si>
    <t xml:space="preserve">R2106</t>
  </si>
  <si>
    <t xml:space="preserve">State, problems and perspective of satellite systems use for air traffic control in civil aviation</t>
  </si>
  <si>
    <t xml:space="preserve">R2107</t>
  </si>
  <si>
    <t xml:space="preserve">Achieving QoS for aeronautical telecommunication networks over differentiated services</t>
  </si>
  <si>
    <t xml:space="preserve">10.1117/12.434354</t>
  </si>
  <si>
    <t xml:space="preserve">R2108</t>
  </si>
  <si>
    <t xml:space="preserve">Local area augmentation of GPS for the precision approach of aircraft</t>
  </si>
  <si>
    <t xml:space="preserve">10.1109/5.736345</t>
  </si>
  <si>
    <t xml:space="preserve">R2109</t>
  </si>
  <si>
    <t xml:space="preserve">Engineering resource management for the information grid and the emerging role of e-commerce</t>
  </si>
  <si>
    <t xml:space="preserve">10.1109/AIWORC.2000.843310</t>
  </si>
  <si>
    <t xml:space="preserve">R2110</t>
  </si>
  <si>
    <t xml:space="preserve">Efficient quadrature multichannel processor algorithms for MCD applications</t>
  </si>
  <si>
    <t xml:space="preserve">10.1002/sat.4600100303</t>
  </si>
  <si>
    <t xml:space="preserve">Stage 1 reason</t>
  </si>
  <si>
    <t xml:space="preserve">R0004</t>
  </si>
  <si>
    <t xml:space="preserve">2025 15th International Conference on Information and Communication Technology and System: AI for the Now and Next: Delivering Solutions and Driving Vision, ICTS 2025</t>
  </si>
  <si>
    <t xml:space="preserve">Conference review</t>
  </si>
  <si>
    <t xml:space="preserve">Proceedings front matter (Conference review)</t>
  </si>
  <si>
    <t xml:space="preserve">R0030</t>
  </si>
  <si>
    <t xml:space="preserve">3rd International Workshop on Advances in Civil Aviation Systems Development, ACASD 2025</t>
  </si>
  <si>
    <t xml:space="preserve">R0044</t>
  </si>
  <si>
    <t xml:space="preserve">International Conference on Business and Technology,  ICBT 2024</t>
  </si>
  <si>
    <t xml:space="preserve">R0095</t>
  </si>
  <si>
    <t xml:space="preserve">Introduction: setting the agenda for research in cybersecurity law and policy</t>
  </si>
  <si>
    <t xml:space="preserve">Editorial</t>
  </si>
  <si>
    <t xml:space="preserve">10.4337/9781803929194.00006</t>
  </si>
  <si>
    <t xml:space="preserve">R0101</t>
  </si>
  <si>
    <t xml:space="preserve">24th International Multidisciplinary Conference on Reliability and Statistics in Transportation and Communication, RelStat 2024</t>
  </si>
  <si>
    <t xml:space="preserve">R0108</t>
  </si>
  <si>
    <t xml:space="preserve">NTAD 2025 - New Trends in Aviation Development 2025: 20th International Scientific Conference, Proceedings</t>
  </si>
  <si>
    <t xml:space="preserve">R0114</t>
  </si>
  <si>
    <t xml:space="preserve">Baltic-DB and IS-Forum-DC 2024 - Joint Proceedings of Baltic DB and IS Conference Forum and Doctoral Consortium 2024, co-located with 16th International Baltic Conference on Digital Business and Intelligent Systems, Baltic DB and IS 2024</t>
  </si>
  <si>
    <t xml:space="preserve">R0121</t>
  </si>
  <si>
    <t xml:space="preserve">R0123</t>
  </si>
  <si>
    <t xml:space="preserve">ICEIEC 2024 - Proceedings of 2024 IEEE 14th International Conference on Electronics Information and Emergency Communication</t>
  </si>
  <si>
    <t xml:space="preserve">R0126</t>
  </si>
  <si>
    <t xml:space="preserve">1st EAI International Conference on Next Generation Computing and Communication Applications, ICNGCCA 2025</t>
  </si>
  <si>
    <t xml:space="preserve">R0134</t>
  </si>
  <si>
    <t xml:space="preserve">2024 12th International Conference on Information Systems and Computing Technology, ISCTech 2024</t>
  </si>
  <si>
    <t xml:space="preserve">R0148</t>
  </si>
  <si>
    <t xml:space="preserve">CMSE 2024 - Proceedings of the International Workshop on Computational Methods in Systems Engineering</t>
  </si>
  <si>
    <t xml:space="preserve">R0175</t>
  </si>
  <si>
    <t xml:space="preserve">2025 4th International Conference on Communication, Computing and Digital Systems, C-CODE 2025</t>
  </si>
  <si>
    <t xml:space="preserve">R0211</t>
  </si>
  <si>
    <t xml:space="preserve">R0253</t>
  </si>
  <si>
    <t xml:space="preserve">Conference on Integrated Computer Technologies in Mechanical Engineering–Synergetic Engineering, ICTM 2023</t>
  </si>
  <si>
    <t xml:space="preserve">R0259</t>
  </si>
  <si>
    <t xml:space="preserve">Proceedings of 2025 IEEE 7th International Conference on Civil Aviation Safety and Information Technology, ICCASIT 2025</t>
  </si>
  <si>
    <t xml:space="preserve">R0307</t>
  </si>
  <si>
    <t xml:space="preserve">Late breaking papers from the 27th International Conference on Human-Computer Interaction, HCI International 2025</t>
  </si>
  <si>
    <t xml:space="preserve">R0316</t>
  </si>
  <si>
    <t xml:space="preserve">Aided Image Acquisition System for Aerobics Training Based on Motion Recognition Technology</t>
  </si>
  <si>
    <t xml:space="preserve">Retracted</t>
  </si>
  <si>
    <t xml:space="preserve">10.1109/ACCESS.2020.3020892</t>
  </si>
  <si>
    <t xml:space="preserve">R0370</t>
  </si>
  <si>
    <t xml:space="preserve">R0378</t>
  </si>
  <si>
    <t xml:space="preserve">Multidisciplinary International Conference of Research Applied to Defense and Security, MICRADS 2023</t>
  </si>
  <si>
    <t xml:space="preserve">R0435</t>
  </si>
  <si>
    <t xml:space="preserve">2nd International Conference on Networks, Communications and Intelligent Computing, NCIC 2024</t>
  </si>
  <si>
    <t xml:space="preserve">R0456</t>
  </si>
  <si>
    <t xml:space="preserve">4th International Conference on Computer and Communication Engineering, CCCE 2024</t>
  </si>
  <si>
    <t xml:space="preserve">R0465</t>
  </si>
  <si>
    <t xml:space="preserve">17th BenchCouncil International Symposium on Benchmarking, Measuring, and Optimizing, Bench 2025</t>
  </si>
  <si>
    <t xml:space="preserve">R0476</t>
  </si>
  <si>
    <t xml:space="preserve">10th International Conference on Information and Communication Technology for Competitive Strategies, ICTCS 2025</t>
  </si>
  <si>
    <t xml:space="preserve">R0477</t>
  </si>
  <si>
    <t xml:space="preserve">2026 International Conference on AI in Education Technology and Applications, AIETA 2026</t>
  </si>
  <si>
    <t xml:space="preserve">R0504</t>
  </si>
  <si>
    <t xml:space="preserve">2022 IEEE 2nd International Conference on Mobile Networks and Wireless Communications, ICMNWC 2022</t>
  </si>
  <si>
    <t xml:space="preserve">R0505</t>
  </si>
  <si>
    <t xml:space="preserve">International School on Neural Networks, NN 2022</t>
  </si>
  <si>
    <t xml:space="preserve">R0516</t>
  </si>
  <si>
    <t xml:space="preserve">5th EAI International Conference on Future Access Enablers for Ubiquitous and Intelligent Infrastructures, FABULOUS 2021</t>
  </si>
  <si>
    <t xml:space="preserve">R0538</t>
  </si>
  <si>
    <t xml:space="preserve">AHFE International Conference on Human Factors in Training, Education, and Learning Sciences, 2018</t>
  </si>
  <si>
    <t xml:space="preserve">R0547</t>
  </si>
  <si>
    <t xml:space="preserve">8th International Conference on Artificial Intelligence and Security, ICAIS 2022</t>
  </si>
  <si>
    <t xml:space="preserve">R0553</t>
  </si>
  <si>
    <t xml:space="preserve">Disruptive Technologies in Information Sciences VI</t>
  </si>
  <si>
    <t xml:space="preserve">R0599</t>
  </si>
  <si>
    <t xml:space="preserve">R0642</t>
  </si>
  <si>
    <t xml:space="preserve">NTAD 2023 - New Trends in Aviation Development 2023: 18th International Scientific Conference - Proceedings</t>
  </si>
  <si>
    <t xml:space="preserve">R0690</t>
  </si>
  <si>
    <t xml:space="preserve">R0702</t>
  </si>
  <si>
    <t xml:space="preserve">2021 Integrated Communications Navigation and Surveillance Conference, ICNS 2021</t>
  </si>
  <si>
    <t xml:space="preserve">R0735</t>
  </si>
  <si>
    <t xml:space="preserve">18th International Conference on Information Security, ISSA 2019</t>
  </si>
  <si>
    <t xml:space="preserve">R0738</t>
  </si>
  <si>
    <t xml:space="preserve">2021 Wave Electronics and its Application in Information and Telecommunication Systems, WECONF 2021 - Conference Proceedings</t>
  </si>
  <si>
    <t xml:space="preserve">R0744</t>
  </si>
  <si>
    <t xml:space="preserve">20th International Conference on Reliability and Statistics in Transportation and Communication, RelStat 2020</t>
  </si>
  <si>
    <t xml:space="preserve">R0759</t>
  </si>
  <si>
    <t xml:space="preserve">11th International Congress of Telematics and Computing, WITCOM 2022</t>
  </si>
  <si>
    <t xml:space="preserve">R0772</t>
  </si>
  <si>
    <t xml:space="preserve">2023 Integrated Communication, Navigation and Surveillance Conference, ICNS 2023</t>
  </si>
  <si>
    <t xml:space="preserve">R0790</t>
  </si>
  <si>
    <t xml:space="preserve">AHFE International Conference on Human Factors in Transportation, 2018</t>
  </si>
  <si>
    <t xml:space="preserve">R0804</t>
  </si>
  <si>
    <t xml:space="preserve">International Scientific and Technical Conference on Integrated Computer Technologies in Mechanical Engineering - Synergetic Engineering, ICTM 2020</t>
  </si>
  <si>
    <t xml:space="preserve">R0844</t>
  </si>
  <si>
    <t xml:space="preserve">R0877</t>
  </si>
  <si>
    <t xml:space="preserve">Multidisciplinary International Conference of Research Applied to Defense and Security, MICRADS 2020</t>
  </si>
  <si>
    <t xml:space="preserve">R0882</t>
  </si>
  <si>
    <t xml:space="preserve">WiSec 2020 - Proceedings of the 13th ACM Conference on Security and Privacy in Wireless and Mobile Networks</t>
  </si>
  <si>
    <t xml:space="preserve">R0883</t>
  </si>
  <si>
    <t xml:space="preserve">RETRACTION:Image recognition of competitive aerobics movements based on embedded system and digital image processing</t>
  </si>
  <si>
    <t xml:space="preserve">10.1016/j.micpro.2021.103925</t>
  </si>
  <si>
    <t xml:space="preserve">R0888</t>
  </si>
  <si>
    <t xml:space="preserve">5th World Conference on Smart Trends in Systems, Security and Sustainability, WS4 2021</t>
  </si>
  <si>
    <t xml:space="preserve">R0954</t>
  </si>
  <si>
    <t xml:space="preserve">2023 19th International Conference on Wireless and Mobile Computing, Networking and Communications, WiMob 2023</t>
  </si>
  <si>
    <t xml:space="preserve">R1022</t>
  </si>
  <si>
    <t xml:space="preserve">2013 International Conference on Information Engineering, ICIE 2013</t>
  </si>
  <si>
    <t xml:space="preserve">R1068</t>
  </si>
  <si>
    <t xml:space="preserve">ICNS 2014 Conference - Blocks and Builds: Air and Ground Convergence</t>
  </si>
  <si>
    <t xml:space="preserve">R1106</t>
  </si>
  <si>
    <t xml:space="preserve">Proceedings of the Working Conference on Advanced Visual Interfaces, AVI 2012</t>
  </si>
  <si>
    <t xml:space="preserve">R1120</t>
  </si>
  <si>
    <t xml:space="preserve">IEEE SSCI 2011 - Symposium series on computational intelligence - IA 2011: 2011 IEEE symposium on intelligent agents</t>
  </si>
  <si>
    <t xml:space="preserve">R1138</t>
  </si>
  <si>
    <t xml:space="preserve">19th International Conference on Human-Computer Interaction, HCI International 2017</t>
  </si>
  <si>
    <t xml:space="preserve">R1178</t>
  </si>
  <si>
    <t xml:space="preserve">ICNS 2016: Securing an Integrated CNS System to Meet Future Challenges</t>
  </si>
  <si>
    <t xml:space="preserve">R1194</t>
  </si>
  <si>
    <t xml:space="preserve">Persuasive Technology - 9th International Conference, PERSUASIVE 2014, Proceedings</t>
  </si>
  <si>
    <t xml:space="preserve">R1223</t>
  </si>
  <si>
    <t xml:space="preserve">Proceedings of 2018 IEEE 9th International Conference on Dependable Systems, Services and Technologies, DESSERT 2018</t>
  </si>
  <si>
    <t xml:space="preserve">R1276</t>
  </si>
  <si>
    <t xml:space="preserve">3rd International Conference on Future Data and Security Engineering, FDSE 2016</t>
  </si>
  <si>
    <t xml:space="preserve">R1285</t>
  </si>
  <si>
    <t xml:space="preserve">2013 International Conference of Information Science and Management Engineering, ISME 2013, Volume 3</t>
  </si>
  <si>
    <t xml:space="preserve">R1302</t>
  </si>
  <si>
    <t xml:space="preserve">Proceedings - 4th IEEE International Conference on Cyber Security and Cloud Computing, CSCloud 2017 and 3rd IEEE International Conference of Scalable and Smart Cloud, SSC 2017</t>
  </si>
  <si>
    <t xml:space="preserve">R1351</t>
  </si>
  <si>
    <t xml:space="preserve">ICNS 2011 - Integrated Communications, Navigation and Surveillance Conference: Renovating the Global Air Transportation System, Proceedings</t>
  </si>
  <si>
    <t xml:space="preserve">R1359</t>
  </si>
  <si>
    <t xml:space="preserve">Communications and Information Processing - International Conference, ICCIP 2012, Revised Selected Papers</t>
  </si>
  <si>
    <t xml:space="preserve">R1367</t>
  </si>
  <si>
    <t xml:space="preserve">10.1109/ICNSURV.2015.7121353</t>
  </si>
  <si>
    <t xml:space="preserve">Duplicate</t>
  </si>
  <si>
    <t xml:space="preserve">R1385</t>
  </si>
  <si>
    <t xml:space="preserve">2013 Integrated Communications, Navigation and Surveillance Conference, ICNS 2013</t>
  </si>
  <si>
    <t xml:space="preserve">R1387</t>
  </si>
  <si>
    <t xml:space="preserve">R1418</t>
  </si>
  <si>
    <t xml:space="preserve">Notice of Removal: Experimental study on gate areas using L-band channel with WiMax frequency for efficient aircraft communication</t>
  </si>
  <si>
    <t xml:space="preserve">10.1109/EESCO.2015.7254042</t>
  </si>
  <si>
    <t xml:space="preserve">R1423</t>
  </si>
  <si>
    <t xml:space="preserve">Notice of Removal: A Review and Future Directions of UAV Swarm Communication Architectures</t>
  </si>
  <si>
    <t xml:space="preserve">10.1109/EIT.2018.8500274</t>
  </si>
  <si>
    <t xml:space="preserve">R1446</t>
  </si>
  <si>
    <t xml:space="preserve">AHFE 2017 International Conference on Safety Management and Human Factors, 2017</t>
  </si>
  <si>
    <t xml:space="preserve">R1447</t>
  </si>
  <si>
    <t xml:space="preserve">R1450</t>
  </si>
  <si>
    <t xml:space="preserve">Proceedings - 2010 International Conference on Multimedia Communications, Mediacom 2010</t>
  </si>
  <si>
    <t xml:space="preserve">R1461</t>
  </si>
  <si>
    <t xml:space="preserve">10.1109/CODES-ISSS.2013.6658987</t>
  </si>
  <si>
    <t xml:space="preserve">R1476</t>
  </si>
  <si>
    <t xml:space="preserve">2014 International Conference on Advances in Electronics, Computers and Communications, ICAECC 2014</t>
  </si>
  <si>
    <t xml:space="preserve">R1483</t>
  </si>
  <si>
    <t xml:space="preserve">18th International Conference on Innovations for Community Services, I4CS 2018</t>
  </si>
  <si>
    <t xml:space="preserve">R1486</t>
  </si>
  <si>
    <t xml:space="preserve">10.1109/EMSOFT.2013.6658578</t>
  </si>
  <si>
    <t xml:space="preserve">R1589</t>
  </si>
  <si>
    <t xml:space="preserve">2004 IEEE AFRICON: 7th AFRICON Conference in Africa: Technology Innovation - Volume 1</t>
  </si>
  <si>
    <t xml:space="preserve">R1592</t>
  </si>
  <si>
    <t xml:space="preserve">2009 Second ISECS International Colloquium on Computing, Communication, Control, and Management, CCCM 2009</t>
  </si>
  <si>
    <t xml:space="preserve">R1617</t>
  </si>
  <si>
    <t xml:space="preserve">3rd IEEE International Conference on Wireless and Mobile Computing, Networking and Communications, WiMob 2007</t>
  </si>
  <si>
    <t xml:space="preserve">R1709</t>
  </si>
  <si>
    <t xml:space="preserve">2007 15th International Conference on Digital Signal Processing, DSO 2007</t>
  </si>
  <si>
    <t xml:space="preserve">R1715</t>
  </si>
  <si>
    <t xml:space="preserve">Networks 2006: 12th International Telecommunications Metwork Strategy and Planning Symposium</t>
  </si>
  <si>
    <t xml:space="preserve">R1725</t>
  </si>
  <si>
    <t xml:space="preserve">10.1109/T-WC.2008.070348</t>
  </si>
  <si>
    <t xml:space="preserve">R1736</t>
  </si>
  <si>
    <t xml:space="preserve">Proceedings of SPIE - Defense, Security, and Cockpit Displays</t>
  </si>
  <si>
    <t xml:space="preserve">R1783</t>
  </si>
  <si>
    <t xml:space="preserve">R1843</t>
  </si>
  <si>
    <t xml:space="preserve">46th Annual Transportation Research Forum 2005, Volume 2</t>
  </si>
  <si>
    <t xml:space="preserve">R1853</t>
  </si>
  <si>
    <t xml:space="preserve">R1859</t>
  </si>
  <si>
    <t xml:space="preserve">R1874</t>
  </si>
  <si>
    <t xml:space="preserve">Increasing the number of users in multi-carrier CDMA system</t>
  </si>
  <si>
    <t xml:space="preserve">10.1109/CRMICO.2008.4676393</t>
  </si>
  <si>
    <t xml:space="preserve">Non-English</t>
  </si>
  <si>
    <t xml:space="preserve">R1906</t>
  </si>
  <si>
    <t xml:space="preserve">10.1007/s10009-006-0004-z</t>
  </si>
  <si>
    <t xml:space="preserve">R1932</t>
  </si>
  <si>
    <t xml:space="preserve">Proceedings of the 2008 Integrated Communications/ Navigation and Surveillance Conference, ICNS Conference 2008</t>
  </si>
  <si>
    <t xml:space="preserve">R1948</t>
  </si>
  <si>
    <t xml:space="preserve">10.1109/ICWMC.2008.68</t>
  </si>
  <si>
    <t xml:space="preserve">R1962</t>
  </si>
  <si>
    <t xml:space="preserve">Method for secure information transmission possessing a remarkable stability against noise and fluctuations in communication channel</t>
  </si>
  <si>
    <t xml:space="preserve">10.1109/CRMICO.2007.4368694</t>
  </si>
  <si>
    <t xml:space="preserve">R1970</t>
  </si>
  <si>
    <t xml:space="preserve">46th Annual Transportation Research Forum 2005, Volume 1</t>
  </si>
  <si>
    <t xml:space="preserve">R2020</t>
  </si>
  <si>
    <t xml:space="preserve">Fiber Optic Gyros: 20th Anniversary Conference</t>
  </si>
  <si>
    <t xml:space="preserve">R2040</t>
  </si>
  <si>
    <t xml:space="preserve">Proceedings - 16th Workshop on Parallel and Distributed Simulation, PADS 2002</t>
  </si>
  <si>
    <t xml:space="preserve">R2056</t>
  </si>
  <si>
    <t xml:space="preserve">IEEE 1992 Position Location and Navigation Symposium - PLANS '92</t>
  </si>
  <si>
    <t xml:space="preserve">R2073</t>
  </si>
  <si>
    <t xml:space="preserve">IEEE PLANS '90 - Position Location and Navigation Symposium</t>
  </si>
  <si>
    <t xml:space="preserve">R2096</t>
  </si>
  <si>
    <t xml:space="preserve">Wide area augmentation of the global positioning system</t>
  </si>
  <si>
    <t xml:space="preserve">R2100</t>
  </si>
  <si>
    <t xml:space="preserve">Preface to the special section on air transportation systems</t>
  </si>
  <si>
    <t xml:space="preserve">10.1016/0967-0661(96)00112-8</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</si>
</sst>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1" t="s">
        <v>3</v>
      </c>
    </row>
    <row r="6" customFormat="false" ht="35.0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1"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1" t="s">
        <v>15</v>
      </c>
    </row>
    <row r="20" customFormat="false" ht="23.85" hidden="false" customHeight="false" outlineLevel="0" collapsed="false">
      <c r="A20" s="2" t="s">
        <v>16</v>
      </c>
    </row>
    <row r="21" customFormat="false" ht="23.8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t="s">
        <v>19</v>
      </c>
    </row>
    <row r="24" customFormat="false" ht="23.85" hidden="false" customHeight="false" outlineLevel="0" collapsed="false">
      <c r="A24"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32"/>
  </cols>
  <sheetData>
    <row r="1" customFormat="false" ht="15" hidden="false" customHeight="false" outlineLevel="0" collapsed="false">
      <c r="A1" s="3" t="s">
        <v>21</v>
      </c>
      <c r="B1" s="3" t="s">
        <v>22</v>
      </c>
      <c r="C1" s="3" t="s">
        <v>23</v>
      </c>
    </row>
    <row r="2" customFormat="false" ht="15" hidden="false" customHeight="false" outlineLevel="0" collapsed="false">
      <c r="A2" s="4" t="s">
        <v>24</v>
      </c>
      <c r="B2" s="5" t="n">
        <v>2110</v>
      </c>
      <c r="C2" s="4" t="s">
        <v>25</v>
      </c>
    </row>
    <row r="3" customFormat="false" ht="15" hidden="false" customHeight="false" outlineLevel="0" collapsed="false">
      <c r="A3" s="4" t="s">
        <v>26</v>
      </c>
      <c r="B3" s="4" t="n">
        <f aca="false">COUNTIF('Stage1 removed'!F:F,"Duplicate")</f>
        <v>7</v>
      </c>
      <c r="C3" s="4"/>
    </row>
    <row r="4" customFormat="false" ht="15" hidden="false" customHeight="false" outlineLevel="0" collapsed="false">
      <c r="A4" s="4" t="s">
        <v>27</v>
      </c>
      <c r="B4" s="4" t="n">
        <f aca="false">COUNTIF('Stage1 removed'!F:F,"Proceedings front matter*")</f>
        <v>81</v>
      </c>
      <c r="C4" s="4"/>
    </row>
    <row r="5" customFormat="false" ht="15" hidden="false" customHeight="false" outlineLevel="0" collapsed="false">
      <c r="A5" s="4" t="s">
        <v>28</v>
      </c>
      <c r="B5" s="4" t="n">
        <f aca="false">COUNTIF('Stage1 removed'!F:F,"Retracted")</f>
        <v>4</v>
      </c>
      <c r="C5" s="4"/>
    </row>
    <row r="6" customFormat="false" ht="15" hidden="false" customHeight="false" outlineLevel="0" collapsed="false">
      <c r="A6" s="4" t="s">
        <v>29</v>
      </c>
      <c r="B6" s="4" t="n">
        <f aca="false">COUNTIF('Stage1 removed'!F:F,"Editorial")</f>
        <v>2</v>
      </c>
      <c r="C6" s="4"/>
    </row>
    <row r="7" customFormat="false" ht="15" hidden="false" customHeight="false" outlineLevel="0" collapsed="false">
      <c r="A7" s="4" t="s">
        <v>30</v>
      </c>
      <c r="B7" s="4" t="n">
        <f aca="false">COUNTIF('Stage1 removed'!F:F,"Non-English")</f>
        <v>2</v>
      </c>
      <c r="C7" s="4"/>
    </row>
    <row r="8" customFormat="false" ht="15" hidden="false" customHeight="false" outlineLevel="0" collapsed="false">
      <c r="A8" s="6" t="s">
        <v>31</v>
      </c>
      <c r="B8" s="6" t="n">
        <f aca="false">B2-SUM(B3:B7)</f>
        <v>2014</v>
      </c>
      <c r="C8" s="6"/>
    </row>
    <row r="9" customFormat="false" ht="15" hidden="false" customHeight="false" outlineLevel="0" collapsed="false">
      <c r="A9" s="4" t="s">
        <v>32</v>
      </c>
      <c r="B9" s="4" t="n">
        <f aca="false">COUNTIF('Screening log'!G:G,"E1")</f>
        <v>483</v>
      </c>
      <c r="C9" s="4"/>
    </row>
    <row r="10" customFormat="false" ht="15" hidden="false" customHeight="false" outlineLevel="0" collapsed="false">
      <c r="A10" s="4" t="s">
        <v>33</v>
      </c>
      <c r="B10" s="4" t="n">
        <f aca="false">COUNTIF('Screening log'!G:G,"E2")</f>
        <v>1267</v>
      </c>
      <c r="C10" s="4"/>
    </row>
    <row r="11" customFormat="false" ht="15" hidden="false" customHeight="false" outlineLevel="0" collapsed="false">
      <c r="A11" s="4" t="s">
        <v>34</v>
      </c>
      <c r="B11" s="4" t="n">
        <f aca="false">COUNTIF('Screening log'!G:G,"E3")</f>
        <v>59</v>
      </c>
      <c r="C11" s="4"/>
    </row>
    <row r="12" customFormat="false" ht="15" hidden="false" customHeight="false" outlineLevel="0" collapsed="false">
      <c r="A12" s="4" t="s">
        <v>35</v>
      </c>
      <c r="B12" s="4" t="n">
        <f aca="false">COUNTIF('Screening log'!G:G,"E4")</f>
        <v>35</v>
      </c>
      <c r="C12" s="4"/>
    </row>
    <row r="13" customFormat="false" ht="15" hidden="false" customHeight="false" outlineLevel="0" collapsed="false">
      <c r="A13" s="4" t="s">
        <v>36</v>
      </c>
      <c r="B13" s="4" t="n">
        <f aca="false">COUNTIF('Screening log'!G:G,"E5")</f>
        <v>23</v>
      </c>
      <c r="C13" s="4"/>
    </row>
    <row r="14" customFormat="false" ht="15" hidden="false" customHeight="false" outlineLevel="0" collapsed="false">
      <c r="A14" s="4" t="s">
        <v>37</v>
      </c>
      <c r="B14" s="4" t="n">
        <f aca="false">COUNTIF('Screening log'!G:G,"E6")</f>
        <v>7</v>
      </c>
      <c r="C14" s="4"/>
    </row>
    <row r="15" customFormat="false" ht="15" hidden="false" customHeight="false" outlineLevel="0" collapsed="false">
      <c r="A15" s="4" t="s">
        <v>38</v>
      </c>
      <c r="B15" s="4" t="n">
        <f aca="false">COUNTIF('Screening log'!G:G,"E7")</f>
        <v>15</v>
      </c>
      <c r="C15" s="4"/>
    </row>
    <row r="16" customFormat="false" ht="15" hidden="false" customHeight="false" outlineLevel="0" collapsed="false">
      <c r="A16" s="6" t="s">
        <v>39</v>
      </c>
      <c r="B16" s="6" t="n">
        <f aca="false">COUNTIF('Screening log'!F:F,"Include")</f>
        <v>125</v>
      </c>
      <c r="C16" s="6"/>
    </row>
    <row r="17" customFormat="false" ht="15" hidden="false" customHeight="false" outlineLevel="0" collapsed="false">
      <c r="A17" s="4" t="s">
        <v>40</v>
      </c>
      <c r="B17" s="4" t="n">
        <f aca="false">COUNTIF(Included!K:K,"Borderline*")</f>
        <v>13</v>
      </c>
      <c r="C17" s="4"/>
    </row>
    <row r="18" customFormat="false" ht="15" hidden="false" customHeight="false" outlineLevel="0" collapsed="false">
      <c r="A18" s="4" t="s">
        <v>41</v>
      </c>
      <c r="B18" s="4" t="n">
        <f aca="false">B8-SUM(B9:B15)-B16</f>
        <v>0</v>
      </c>
      <c r="C18"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60"/>
    <col collapsed="false" customWidth="true" hidden="false" outlineLevel="0" max="4" min="4" style="0" width="7"/>
    <col collapsed="false" customWidth="true" hidden="false" outlineLevel="0" max="5" min="5" style="0" width="35"/>
    <col collapsed="false" customWidth="true" hidden="false" outlineLevel="0" max="6" min="6" style="0" width="15"/>
    <col collapsed="false" customWidth="true" hidden="false" outlineLevel="0" max="7" min="7" style="0" width="26"/>
    <col collapsed="false" customWidth="true" hidden="false" outlineLevel="0" max="8" min="8" style="0" width="8"/>
    <col collapsed="false" customWidth="true" hidden="false" outlineLevel="0" max="9" min="9" style="0" width="30"/>
    <col collapsed="false" customWidth="true" hidden="false" outlineLevel="0" max="10" min="10" style="0" width="13"/>
    <col collapsed="false" customWidth="true" hidden="false" outlineLevel="0" max="11" min="11" style="0" width="22"/>
    <col collapsed="false" customWidth="true" hidden="false" outlineLevel="0" max="12" min="12" style="0" width="90"/>
  </cols>
  <sheetData>
    <row r="1" customFormat="false" ht="23.85" hidden="false" customHeight="false" outlineLevel="0" collapsed="false">
      <c r="A1" s="7" t="s">
        <v>42</v>
      </c>
      <c r="B1" s="7" t="s">
        <v>43</v>
      </c>
      <c r="C1" s="7" t="s">
        <v>44</v>
      </c>
      <c r="D1" s="7" t="s">
        <v>45</v>
      </c>
      <c r="E1" s="7" t="s">
        <v>46</v>
      </c>
      <c r="F1" s="7" t="s">
        <v>47</v>
      </c>
      <c r="G1" s="7" t="s">
        <v>48</v>
      </c>
      <c r="H1" s="7" t="s">
        <v>49</v>
      </c>
      <c r="I1" s="7" t="s">
        <v>50</v>
      </c>
      <c r="J1" s="7" t="s">
        <v>51</v>
      </c>
      <c r="K1" s="7" t="s">
        <v>52</v>
      </c>
      <c r="L1" s="7" t="s">
        <v>53</v>
      </c>
    </row>
    <row r="2" customFormat="false" ht="23.85" hidden="false" customHeight="false" outlineLevel="0" collapsed="false">
      <c r="A2" s="8" t="s">
        <v>54</v>
      </c>
      <c r="B2" s="8" t="s">
        <v>55</v>
      </c>
      <c r="C2" s="2" t="s">
        <v>56</v>
      </c>
      <c r="D2" s="8" t="n">
        <v>2026</v>
      </c>
      <c r="E2" s="8" t="s">
        <v>57</v>
      </c>
      <c r="F2" s="8" t="s">
        <v>58</v>
      </c>
      <c r="G2" s="8" t="s">
        <v>59</v>
      </c>
      <c r="H2" s="8" t="n">
        <v>0</v>
      </c>
      <c r="I2" s="8" t="s">
        <v>60</v>
      </c>
      <c r="J2" s="8" t="s">
        <v>61</v>
      </c>
      <c r="K2" s="8" t="s">
        <v>62</v>
      </c>
      <c r="L2" s="8" t="s">
        <v>63</v>
      </c>
    </row>
    <row r="3" customFormat="false" ht="15" hidden="false" customHeight="false" outlineLevel="0" collapsed="false">
      <c r="A3" s="8" t="s">
        <v>64</v>
      </c>
      <c r="B3" s="8" t="s">
        <v>65</v>
      </c>
      <c r="C3" s="2" t="s">
        <v>66</v>
      </c>
      <c r="D3" s="8" t="n">
        <v>2026</v>
      </c>
      <c r="E3" s="8" t="s">
        <v>57</v>
      </c>
      <c r="F3" s="8" t="s">
        <v>58</v>
      </c>
      <c r="G3" s="8" t="s">
        <v>67</v>
      </c>
      <c r="H3" s="8" t="n">
        <v>0</v>
      </c>
      <c r="I3" s="8" t="s">
        <v>68</v>
      </c>
      <c r="J3" s="8" t="s">
        <v>61</v>
      </c>
      <c r="K3" s="8" t="s">
        <v>62</v>
      </c>
      <c r="L3" s="8" t="s">
        <v>69</v>
      </c>
    </row>
    <row r="4" customFormat="false" ht="35.05" hidden="false" customHeight="false" outlineLevel="0" collapsed="false">
      <c r="A4" s="8" t="s">
        <v>70</v>
      </c>
      <c r="B4" s="8" t="s">
        <v>71</v>
      </c>
      <c r="C4" s="2" t="s">
        <v>72</v>
      </c>
      <c r="D4" s="8" t="n">
        <v>2026</v>
      </c>
      <c r="E4" s="8" t="s">
        <v>73</v>
      </c>
      <c r="F4" s="8" t="s">
        <v>74</v>
      </c>
      <c r="G4" s="8" t="s">
        <v>75</v>
      </c>
      <c r="H4" s="8" t="n">
        <v>0</v>
      </c>
      <c r="I4" s="8" t="s">
        <v>76</v>
      </c>
      <c r="J4" s="8" t="s">
        <v>77</v>
      </c>
      <c r="K4" s="8" t="s">
        <v>62</v>
      </c>
      <c r="L4" s="8" t="s">
        <v>78</v>
      </c>
    </row>
    <row r="5" customFormat="false" ht="23.85" hidden="false" customHeight="false" outlineLevel="0" collapsed="false">
      <c r="A5" s="8" t="s">
        <v>79</v>
      </c>
      <c r="B5" s="8" t="s">
        <v>80</v>
      </c>
      <c r="C5" s="2" t="s">
        <v>81</v>
      </c>
      <c r="D5" s="8" t="n">
        <v>2026</v>
      </c>
      <c r="E5" s="8" t="s">
        <v>82</v>
      </c>
      <c r="F5" s="8" t="s">
        <v>83</v>
      </c>
      <c r="G5" s="8" t="s">
        <v>84</v>
      </c>
      <c r="H5" s="8" t="n">
        <v>1</v>
      </c>
      <c r="I5" s="8" t="s">
        <v>60</v>
      </c>
      <c r="J5" s="8" t="s">
        <v>61</v>
      </c>
      <c r="K5" s="8" t="s">
        <v>62</v>
      </c>
      <c r="L5" s="8" t="s">
        <v>85</v>
      </c>
    </row>
    <row r="6" customFormat="false" ht="35.05" hidden="false" customHeight="false" outlineLevel="0" collapsed="false">
      <c r="A6" s="8" t="s">
        <v>86</v>
      </c>
      <c r="B6" s="8" t="s">
        <v>87</v>
      </c>
      <c r="C6" s="2" t="s">
        <v>88</v>
      </c>
      <c r="D6" s="8" t="n">
        <v>2026</v>
      </c>
      <c r="E6" s="8" t="s">
        <v>89</v>
      </c>
      <c r="F6" s="8" t="s">
        <v>90</v>
      </c>
      <c r="G6" s="8" t="s">
        <v>91</v>
      </c>
      <c r="H6" s="8" t="n">
        <v>2</v>
      </c>
      <c r="I6" s="8" t="s">
        <v>92</v>
      </c>
      <c r="J6" s="8" t="s">
        <v>61</v>
      </c>
      <c r="K6" s="8" t="s">
        <v>62</v>
      </c>
      <c r="L6" s="8" t="s">
        <v>93</v>
      </c>
    </row>
    <row r="7" customFormat="false" ht="23.85" hidden="false" customHeight="false" outlineLevel="0" collapsed="false">
      <c r="A7" s="8" t="s">
        <v>94</v>
      </c>
      <c r="B7" s="8" t="s">
        <v>95</v>
      </c>
      <c r="C7" s="2" t="s">
        <v>96</v>
      </c>
      <c r="D7" s="8" t="n">
        <v>2026</v>
      </c>
      <c r="E7" s="8" t="s">
        <v>97</v>
      </c>
      <c r="F7" s="8" t="s">
        <v>83</v>
      </c>
      <c r="G7" s="8" t="s">
        <v>98</v>
      </c>
      <c r="H7" s="8" t="n">
        <v>0</v>
      </c>
      <c r="I7" s="8" t="s">
        <v>99</v>
      </c>
      <c r="J7" s="8" t="s">
        <v>61</v>
      </c>
      <c r="K7" s="8" t="s">
        <v>62</v>
      </c>
      <c r="L7" s="8" t="s">
        <v>100</v>
      </c>
    </row>
    <row r="8" customFormat="false" ht="23.85" hidden="false" customHeight="false" outlineLevel="0" collapsed="false">
      <c r="A8" s="8" t="s">
        <v>101</v>
      </c>
      <c r="B8" s="8" t="s">
        <v>102</v>
      </c>
      <c r="C8" s="2" t="s">
        <v>103</v>
      </c>
      <c r="D8" s="8" t="n">
        <v>2026</v>
      </c>
      <c r="E8" s="8" t="s">
        <v>104</v>
      </c>
      <c r="F8" s="8" t="s">
        <v>58</v>
      </c>
      <c r="G8" s="8" t="s">
        <v>105</v>
      </c>
      <c r="H8" s="8" t="n">
        <v>0</v>
      </c>
      <c r="I8" s="8" t="s">
        <v>106</v>
      </c>
      <c r="J8" s="8" t="s">
        <v>61</v>
      </c>
      <c r="K8" s="8" t="s">
        <v>62</v>
      </c>
      <c r="L8" s="8" t="s">
        <v>107</v>
      </c>
    </row>
    <row r="9" customFormat="false" ht="23.85" hidden="false" customHeight="false" outlineLevel="0" collapsed="false">
      <c r="A9" s="8" t="s">
        <v>108</v>
      </c>
      <c r="B9" s="8" t="s">
        <v>109</v>
      </c>
      <c r="C9" s="2" t="s">
        <v>110</v>
      </c>
      <c r="D9" s="8" t="n">
        <v>2026</v>
      </c>
      <c r="E9" s="8" t="s">
        <v>73</v>
      </c>
      <c r="F9" s="8" t="s">
        <v>74</v>
      </c>
      <c r="G9" s="8" t="s">
        <v>111</v>
      </c>
      <c r="H9" s="8" t="n">
        <v>2</v>
      </c>
      <c r="I9" s="8" t="s">
        <v>99</v>
      </c>
      <c r="J9" s="8" t="s">
        <v>77</v>
      </c>
      <c r="K9" s="8" t="s">
        <v>62</v>
      </c>
      <c r="L9" s="8" t="s">
        <v>112</v>
      </c>
    </row>
    <row r="10" customFormat="false" ht="23.85" hidden="false" customHeight="false" outlineLevel="0" collapsed="false">
      <c r="A10" s="8" t="s">
        <v>113</v>
      </c>
      <c r="B10" s="8" t="s">
        <v>114</v>
      </c>
      <c r="C10" s="2" t="s">
        <v>115</v>
      </c>
      <c r="D10" s="8" t="n">
        <v>2026</v>
      </c>
      <c r="E10" s="8" t="s">
        <v>116</v>
      </c>
      <c r="F10" s="8" t="s">
        <v>83</v>
      </c>
      <c r="G10" s="8" t="s">
        <v>117</v>
      </c>
      <c r="H10" s="8" t="n">
        <v>0</v>
      </c>
      <c r="I10" s="8" t="s">
        <v>99</v>
      </c>
      <c r="J10" s="8" t="s">
        <v>61</v>
      </c>
      <c r="K10" s="8" t="s">
        <v>62</v>
      </c>
      <c r="L10" s="8" t="s">
        <v>118</v>
      </c>
    </row>
    <row r="11" customFormat="false" ht="23.85" hidden="false" customHeight="false" outlineLevel="0" collapsed="false">
      <c r="A11" s="8" t="s">
        <v>119</v>
      </c>
      <c r="B11" s="8" t="s">
        <v>120</v>
      </c>
      <c r="C11" s="2" t="s">
        <v>121</v>
      </c>
      <c r="D11" s="8" t="n">
        <v>2026</v>
      </c>
      <c r="E11" s="8" t="s">
        <v>122</v>
      </c>
      <c r="F11" s="8" t="s">
        <v>83</v>
      </c>
      <c r="G11" s="8" t="s">
        <v>123</v>
      </c>
      <c r="H11" s="8" t="n">
        <v>0</v>
      </c>
      <c r="I11" s="8" t="s">
        <v>60</v>
      </c>
      <c r="J11" s="8" t="s">
        <v>61</v>
      </c>
      <c r="K11" s="8" t="s">
        <v>62</v>
      </c>
      <c r="L11" s="8" t="s">
        <v>124</v>
      </c>
    </row>
    <row r="12" customFormat="false" ht="23.85" hidden="false" customHeight="false" outlineLevel="0" collapsed="false">
      <c r="A12" s="8" t="s">
        <v>125</v>
      </c>
      <c r="B12" s="8" t="s">
        <v>126</v>
      </c>
      <c r="C12" s="2" t="s">
        <v>127</v>
      </c>
      <c r="D12" s="8" t="n">
        <v>2025</v>
      </c>
      <c r="E12" s="8" t="s">
        <v>128</v>
      </c>
      <c r="F12" s="8" t="s">
        <v>58</v>
      </c>
      <c r="G12" s="8" t="s">
        <v>129</v>
      </c>
      <c r="H12" s="8" t="n">
        <v>0</v>
      </c>
      <c r="I12" s="8" t="s">
        <v>130</v>
      </c>
      <c r="J12" s="8" t="s">
        <v>77</v>
      </c>
      <c r="K12" s="8" t="s">
        <v>62</v>
      </c>
      <c r="L12" s="8" t="s">
        <v>131</v>
      </c>
    </row>
    <row r="13" customFormat="false" ht="15" hidden="false" customHeight="false" outlineLevel="0" collapsed="false">
      <c r="A13" s="8" t="s">
        <v>132</v>
      </c>
      <c r="B13" s="8" t="s">
        <v>133</v>
      </c>
      <c r="C13" s="2" t="s">
        <v>134</v>
      </c>
      <c r="D13" s="8" t="n">
        <v>2025</v>
      </c>
      <c r="E13" s="8" t="s">
        <v>135</v>
      </c>
      <c r="F13" s="8" t="s">
        <v>83</v>
      </c>
      <c r="G13" s="8" t="s">
        <v>136</v>
      </c>
      <c r="H13" s="8" t="n">
        <v>7</v>
      </c>
      <c r="I13" s="8" t="s">
        <v>76</v>
      </c>
      <c r="J13" s="8" t="s">
        <v>61</v>
      </c>
      <c r="K13" s="8" t="s">
        <v>62</v>
      </c>
      <c r="L13" s="8" t="s">
        <v>137</v>
      </c>
    </row>
    <row r="14" customFormat="false" ht="15" hidden="false" customHeight="false" outlineLevel="0" collapsed="false">
      <c r="A14" s="8" t="s">
        <v>138</v>
      </c>
      <c r="B14" s="8" t="s">
        <v>139</v>
      </c>
      <c r="C14" s="2" t="s">
        <v>140</v>
      </c>
      <c r="D14" s="8" t="n">
        <v>2025</v>
      </c>
      <c r="E14" s="8" t="s">
        <v>57</v>
      </c>
      <c r="F14" s="8" t="s">
        <v>58</v>
      </c>
      <c r="G14" s="8" t="s">
        <v>141</v>
      </c>
      <c r="H14" s="8" t="n">
        <v>1</v>
      </c>
      <c r="I14" s="8" t="s">
        <v>142</v>
      </c>
      <c r="J14" s="8" t="s">
        <v>61</v>
      </c>
      <c r="K14" s="8" t="s">
        <v>62</v>
      </c>
      <c r="L14" s="8" t="s">
        <v>143</v>
      </c>
    </row>
    <row r="15" customFormat="false" ht="15" hidden="false" customHeight="false" outlineLevel="0" collapsed="false">
      <c r="A15" s="8" t="s">
        <v>144</v>
      </c>
      <c r="B15" s="8" t="s">
        <v>145</v>
      </c>
      <c r="C15" s="2" t="s">
        <v>146</v>
      </c>
      <c r="D15" s="8" t="n">
        <v>2025</v>
      </c>
      <c r="E15" s="8" t="s">
        <v>147</v>
      </c>
      <c r="F15" s="8" t="s">
        <v>58</v>
      </c>
      <c r="G15" s="8"/>
      <c r="H15" s="8" t="n">
        <v>0</v>
      </c>
      <c r="I15" s="8" t="s">
        <v>99</v>
      </c>
      <c r="J15" s="8" t="s">
        <v>61</v>
      </c>
      <c r="K15" s="8" t="s">
        <v>62</v>
      </c>
      <c r="L15" s="8" t="s">
        <v>148</v>
      </c>
    </row>
    <row r="16" customFormat="false" ht="23.85" hidden="false" customHeight="false" outlineLevel="0" collapsed="false">
      <c r="A16" s="8" t="s">
        <v>149</v>
      </c>
      <c r="B16" s="8" t="s">
        <v>150</v>
      </c>
      <c r="C16" s="2" t="s">
        <v>151</v>
      </c>
      <c r="D16" s="8" t="n">
        <v>2025</v>
      </c>
      <c r="E16" s="8" t="s">
        <v>152</v>
      </c>
      <c r="F16" s="8" t="s">
        <v>58</v>
      </c>
      <c r="G16" s="8" t="s">
        <v>153</v>
      </c>
      <c r="H16" s="8" t="n">
        <v>0</v>
      </c>
      <c r="I16" s="8" t="s">
        <v>76</v>
      </c>
      <c r="J16" s="8" t="s">
        <v>61</v>
      </c>
      <c r="K16" s="8" t="s">
        <v>154</v>
      </c>
      <c r="L16" s="8" t="s">
        <v>155</v>
      </c>
    </row>
    <row r="17" customFormat="false" ht="23.85" hidden="false" customHeight="false" outlineLevel="0" collapsed="false">
      <c r="A17" s="8" t="s">
        <v>156</v>
      </c>
      <c r="B17" s="8" t="s">
        <v>157</v>
      </c>
      <c r="C17" s="2" t="s">
        <v>158</v>
      </c>
      <c r="D17" s="8" t="n">
        <v>2025</v>
      </c>
      <c r="E17" s="8" t="s">
        <v>159</v>
      </c>
      <c r="F17" s="8" t="s">
        <v>83</v>
      </c>
      <c r="G17" s="8" t="s">
        <v>160</v>
      </c>
      <c r="H17" s="8" t="n">
        <v>9</v>
      </c>
      <c r="I17" s="8" t="s">
        <v>60</v>
      </c>
      <c r="J17" s="8" t="s">
        <v>61</v>
      </c>
      <c r="K17" s="8" t="s">
        <v>62</v>
      </c>
      <c r="L17" s="8" t="s">
        <v>161</v>
      </c>
    </row>
    <row r="18" customFormat="false" ht="23.85" hidden="false" customHeight="false" outlineLevel="0" collapsed="false">
      <c r="A18" s="8" t="s">
        <v>162</v>
      </c>
      <c r="B18" s="8" t="s">
        <v>163</v>
      </c>
      <c r="C18" s="2" t="s">
        <v>164</v>
      </c>
      <c r="D18" s="8" t="n">
        <v>2025</v>
      </c>
      <c r="E18" s="8" t="s">
        <v>165</v>
      </c>
      <c r="F18" s="8" t="s">
        <v>58</v>
      </c>
      <c r="G18" s="8" t="s">
        <v>166</v>
      </c>
      <c r="H18" s="8" t="n">
        <v>0</v>
      </c>
      <c r="I18" s="8" t="s">
        <v>76</v>
      </c>
      <c r="J18" s="8" t="s">
        <v>61</v>
      </c>
      <c r="K18" s="8" t="s">
        <v>62</v>
      </c>
      <c r="L18" s="8" t="s">
        <v>167</v>
      </c>
    </row>
    <row r="19" customFormat="false" ht="23.85" hidden="false" customHeight="false" outlineLevel="0" collapsed="false">
      <c r="A19" s="8" t="s">
        <v>168</v>
      </c>
      <c r="B19" s="8" t="s">
        <v>169</v>
      </c>
      <c r="C19" s="2" t="s">
        <v>170</v>
      </c>
      <c r="D19" s="8" t="n">
        <v>2025</v>
      </c>
      <c r="E19" s="8" t="s">
        <v>171</v>
      </c>
      <c r="F19" s="8" t="s">
        <v>58</v>
      </c>
      <c r="G19" s="8" t="s">
        <v>172</v>
      </c>
      <c r="H19" s="8" t="n">
        <v>0</v>
      </c>
      <c r="I19" s="8" t="s">
        <v>76</v>
      </c>
      <c r="J19" s="8" t="s">
        <v>61</v>
      </c>
      <c r="K19" s="8" t="s">
        <v>62</v>
      </c>
      <c r="L19" s="8" t="s">
        <v>173</v>
      </c>
    </row>
    <row r="20" customFormat="false" ht="23.85" hidden="false" customHeight="false" outlineLevel="0" collapsed="false">
      <c r="A20" s="8" t="s">
        <v>174</v>
      </c>
      <c r="B20" s="8" t="s">
        <v>175</v>
      </c>
      <c r="C20" s="2" t="s">
        <v>176</v>
      </c>
      <c r="D20" s="8" t="n">
        <v>2025</v>
      </c>
      <c r="E20" s="8" t="s">
        <v>177</v>
      </c>
      <c r="F20" s="8" t="s">
        <v>58</v>
      </c>
      <c r="G20" s="8" t="s">
        <v>178</v>
      </c>
      <c r="H20" s="8" t="n">
        <v>0</v>
      </c>
      <c r="I20" s="8" t="s">
        <v>76</v>
      </c>
      <c r="J20" s="8" t="s">
        <v>61</v>
      </c>
      <c r="K20" s="8" t="s">
        <v>62</v>
      </c>
      <c r="L20" s="8" t="s">
        <v>179</v>
      </c>
    </row>
    <row r="21" customFormat="false" ht="15" hidden="false" customHeight="false" outlineLevel="0" collapsed="false">
      <c r="A21" s="8" t="s">
        <v>180</v>
      </c>
      <c r="B21" s="8" t="s">
        <v>181</v>
      </c>
      <c r="C21" s="2" t="s">
        <v>182</v>
      </c>
      <c r="D21" s="8" t="n">
        <v>2025</v>
      </c>
      <c r="E21" s="8" t="s">
        <v>57</v>
      </c>
      <c r="F21" s="8" t="s">
        <v>58</v>
      </c>
      <c r="G21" s="8" t="s">
        <v>183</v>
      </c>
      <c r="H21" s="8" t="n">
        <v>2</v>
      </c>
      <c r="I21" s="8" t="s">
        <v>76</v>
      </c>
      <c r="J21" s="8" t="s">
        <v>61</v>
      </c>
      <c r="K21" s="8" t="s">
        <v>62</v>
      </c>
      <c r="L21" s="8" t="s">
        <v>184</v>
      </c>
    </row>
    <row r="22" customFormat="false" ht="23.85" hidden="false" customHeight="false" outlineLevel="0" collapsed="false">
      <c r="A22" s="8" t="s">
        <v>185</v>
      </c>
      <c r="B22" s="8" t="s">
        <v>186</v>
      </c>
      <c r="C22" s="2" t="s">
        <v>187</v>
      </c>
      <c r="D22" s="8" t="n">
        <v>2025</v>
      </c>
      <c r="E22" s="8" t="s">
        <v>188</v>
      </c>
      <c r="F22" s="8" t="s">
        <v>58</v>
      </c>
      <c r="G22" s="8" t="s">
        <v>189</v>
      </c>
      <c r="H22" s="8" t="n">
        <v>0</v>
      </c>
      <c r="I22" s="8" t="s">
        <v>106</v>
      </c>
      <c r="J22" s="8" t="s">
        <v>61</v>
      </c>
      <c r="K22" s="8" t="s">
        <v>62</v>
      </c>
      <c r="L22" s="8" t="s">
        <v>190</v>
      </c>
    </row>
    <row r="23" customFormat="false" ht="23.85" hidden="false" customHeight="false" outlineLevel="0" collapsed="false">
      <c r="A23" s="8" t="s">
        <v>191</v>
      </c>
      <c r="B23" s="8" t="s">
        <v>192</v>
      </c>
      <c r="C23" s="2" t="s">
        <v>193</v>
      </c>
      <c r="D23" s="8" t="n">
        <v>2025</v>
      </c>
      <c r="E23" s="8" t="s">
        <v>194</v>
      </c>
      <c r="F23" s="8" t="s">
        <v>83</v>
      </c>
      <c r="G23" s="8" t="s">
        <v>195</v>
      </c>
      <c r="H23" s="8" t="n">
        <v>5</v>
      </c>
      <c r="I23" s="8" t="s">
        <v>76</v>
      </c>
      <c r="J23" s="8" t="s">
        <v>61</v>
      </c>
      <c r="K23" s="8" t="s">
        <v>62</v>
      </c>
      <c r="L23" s="8" t="s">
        <v>196</v>
      </c>
    </row>
    <row r="24" customFormat="false" ht="23.85" hidden="false" customHeight="false" outlineLevel="0" collapsed="false">
      <c r="A24" s="8" t="s">
        <v>197</v>
      </c>
      <c r="B24" s="8" t="s">
        <v>198</v>
      </c>
      <c r="C24" s="2" t="s">
        <v>199</v>
      </c>
      <c r="D24" s="8" t="n">
        <v>2025</v>
      </c>
      <c r="E24" s="8" t="s">
        <v>200</v>
      </c>
      <c r="F24" s="8" t="s">
        <v>58</v>
      </c>
      <c r="G24" s="8" t="s">
        <v>201</v>
      </c>
      <c r="H24" s="8" t="n">
        <v>0</v>
      </c>
      <c r="I24" s="8" t="s">
        <v>92</v>
      </c>
      <c r="J24" s="8" t="s">
        <v>61</v>
      </c>
      <c r="K24" s="8" t="s">
        <v>62</v>
      </c>
      <c r="L24" s="8" t="s">
        <v>202</v>
      </c>
    </row>
    <row r="25" customFormat="false" ht="35.05" hidden="false" customHeight="false" outlineLevel="0" collapsed="false">
      <c r="A25" s="8" t="s">
        <v>203</v>
      </c>
      <c r="B25" s="8" t="s">
        <v>204</v>
      </c>
      <c r="C25" s="2" t="s">
        <v>205</v>
      </c>
      <c r="D25" s="8" t="n">
        <v>2025</v>
      </c>
      <c r="E25" s="8" t="s">
        <v>206</v>
      </c>
      <c r="F25" s="8" t="s">
        <v>58</v>
      </c>
      <c r="G25" s="8" t="s">
        <v>207</v>
      </c>
      <c r="H25" s="8" t="n">
        <v>0</v>
      </c>
      <c r="I25" s="8" t="s">
        <v>76</v>
      </c>
      <c r="J25" s="8" t="s">
        <v>61</v>
      </c>
      <c r="K25" s="8" t="s">
        <v>62</v>
      </c>
      <c r="L25" s="8" t="s">
        <v>208</v>
      </c>
    </row>
    <row r="26" customFormat="false" ht="23.85" hidden="false" customHeight="false" outlineLevel="0" collapsed="false">
      <c r="A26" s="8" t="s">
        <v>209</v>
      </c>
      <c r="B26" s="8" t="s">
        <v>210</v>
      </c>
      <c r="C26" s="2" t="s">
        <v>211</v>
      </c>
      <c r="D26" s="8" t="n">
        <v>2025</v>
      </c>
      <c r="E26" s="8" t="s">
        <v>212</v>
      </c>
      <c r="F26" s="8" t="s">
        <v>58</v>
      </c>
      <c r="G26" s="8"/>
      <c r="H26" s="8" t="n">
        <v>0</v>
      </c>
      <c r="I26" s="8" t="s">
        <v>76</v>
      </c>
      <c r="J26" s="8" t="s">
        <v>61</v>
      </c>
      <c r="K26" s="8" t="s">
        <v>154</v>
      </c>
      <c r="L26" s="8" t="s">
        <v>213</v>
      </c>
    </row>
    <row r="27" customFormat="false" ht="15" hidden="false" customHeight="false" outlineLevel="0" collapsed="false">
      <c r="A27" s="8" t="s">
        <v>214</v>
      </c>
      <c r="B27" s="8" t="s">
        <v>215</v>
      </c>
      <c r="C27" s="2" t="s">
        <v>216</v>
      </c>
      <c r="D27" s="8" t="n">
        <v>2025</v>
      </c>
      <c r="E27" s="8" t="s">
        <v>217</v>
      </c>
      <c r="F27" s="8" t="s">
        <v>58</v>
      </c>
      <c r="G27" s="8" t="s">
        <v>218</v>
      </c>
      <c r="H27" s="8" t="n">
        <v>5</v>
      </c>
      <c r="I27" s="8" t="s">
        <v>92</v>
      </c>
      <c r="J27" s="8" t="s">
        <v>61</v>
      </c>
      <c r="K27" s="8" t="s">
        <v>62</v>
      </c>
      <c r="L27" s="8" t="s">
        <v>219</v>
      </c>
    </row>
    <row r="28" customFormat="false" ht="15" hidden="false" customHeight="false" outlineLevel="0" collapsed="false">
      <c r="A28" s="8" t="s">
        <v>220</v>
      </c>
      <c r="B28" s="8" t="s">
        <v>221</v>
      </c>
      <c r="C28" s="2" t="s">
        <v>222</v>
      </c>
      <c r="D28" s="8" t="n">
        <v>2025</v>
      </c>
      <c r="E28" s="8" t="s">
        <v>57</v>
      </c>
      <c r="F28" s="8" t="s">
        <v>58</v>
      </c>
      <c r="G28" s="8" t="s">
        <v>223</v>
      </c>
      <c r="H28" s="8" t="n">
        <v>3</v>
      </c>
      <c r="I28" s="8" t="s">
        <v>60</v>
      </c>
      <c r="J28" s="8" t="s">
        <v>61</v>
      </c>
      <c r="K28" s="8" t="s">
        <v>62</v>
      </c>
      <c r="L28" s="8" t="s">
        <v>224</v>
      </c>
    </row>
    <row r="29" customFormat="false" ht="15" hidden="false" customHeight="false" outlineLevel="0" collapsed="false">
      <c r="A29" s="8" t="s">
        <v>225</v>
      </c>
      <c r="B29" s="8" t="s">
        <v>226</v>
      </c>
      <c r="C29" s="2" t="s">
        <v>227</v>
      </c>
      <c r="D29" s="8" t="n">
        <v>2025</v>
      </c>
      <c r="E29" s="8" t="s">
        <v>228</v>
      </c>
      <c r="F29" s="8" t="s">
        <v>58</v>
      </c>
      <c r="G29" s="8" t="s">
        <v>229</v>
      </c>
      <c r="H29" s="8" t="n">
        <v>1</v>
      </c>
      <c r="I29" s="8" t="s">
        <v>142</v>
      </c>
      <c r="J29" s="8" t="s">
        <v>61</v>
      </c>
      <c r="K29" s="8" t="s">
        <v>62</v>
      </c>
      <c r="L29" s="8" t="s">
        <v>230</v>
      </c>
    </row>
    <row r="30" customFormat="false" ht="23.85" hidden="false" customHeight="false" outlineLevel="0" collapsed="false">
      <c r="A30" s="8" t="s">
        <v>231</v>
      </c>
      <c r="B30" s="8" t="s">
        <v>232</v>
      </c>
      <c r="C30" s="2" t="s">
        <v>233</v>
      </c>
      <c r="D30" s="8" t="n">
        <v>2025</v>
      </c>
      <c r="E30" s="8" t="s">
        <v>194</v>
      </c>
      <c r="F30" s="8" t="s">
        <v>74</v>
      </c>
      <c r="G30" s="8" t="s">
        <v>234</v>
      </c>
      <c r="H30" s="8" t="n">
        <v>10</v>
      </c>
      <c r="I30" s="8" t="s">
        <v>235</v>
      </c>
      <c r="J30" s="8" t="s">
        <v>77</v>
      </c>
      <c r="K30" s="8" t="s">
        <v>62</v>
      </c>
      <c r="L30" s="8" t="s">
        <v>236</v>
      </c>
    </row>
    <row r="31" customFormat="false" ht="23.85" hidden="false" customHeight="false" outlineLevel="0" collapsed="false">
      <c r="A31" s="8" t="s">
        <v>237</v>
      </c>
      <c r="B31" s="8" t="s">
        <v>238</v>
      </c>
      <c r="C31" s="2" t="s">
        <v>239</v>
      </c>
      <c r="D31" s="8" t="n">
        <v>2025</v>
      </c>
      <c r="E31" s="8" t="s">
        <v>104</v>
      </c>
      <c r="F31" s="8" t="s">
        <v>58</v>
      </c>
      <c r="G31" s="8" t="s">
        <v>240</v>
      </c>
      <c r="H31" s="8" t="n">
        <v>0</v>
      </c>
      <c r="I31" s="8" t="s">
        <v>92</v>
      </c>
      <c r="J31" s="8" t="s">
        <v>61</v>
      </c>
      <c r="K31" s="8" t="s">
        <v>62</v>
      </c>
      <c r="L31" s="8" t="s">
        <v>241</v>
      </c>
    </row>
    <row r="32" customFormat="false" ht="23.85" hidden="false" customHeight="false" outlineLevel="0" collapsed="false">
      <c r="A32" s="8" t="s">
        <v>242</v>
      </c>
      <c r="B32" s="8" t="s">
        <v>243</v>
      </c>
      <c r="C32" s="2" t="s">
        <v>244</v>
      </c>
      <c r="D32" s="8" t="n">
        <v>2025</v>
      </c>
      <c r="E32" s="8" t="s">
        <v>245</v>
      </c>
      <c r="F32" s="8" t="s">
        <v>58</v>
      </c>
      <c r="G32" s="8" t="s">
        <v>246</v>
      </c>
      <c r="H32" s="8" t="n">
        <v>0</v>
      </c>
      <c r="I32" s="8" t="s">
        <v>130</v>
      </c>
      <c r="J32" s="8" t="s">
        <v>61</v>
      </c>
      <c r="K32" s="8" t="s">
        <v>62</v>
      </c>
      <c r="L32" s="8" t="s">
        <v>247</v>
      </c>
    </row>
    <row r="33" customFormat="false" ht="23.85" hidden="false" customHeight="false" outlineLevel="0" collapsed="false">
      <c r="A33" s="8" t="s">
        <v>248</v>
      </c>
      <c r="B33" s="8" t="s">
        <v>249</v>
      </c>
      <c r="C33" s="2" t="s">
        <v>250</v>
      </c>
      <c r="D33" s="8" t="n">
        <v>2025</v>
      </c>
      <c r="E33" s="8" t="s">
        <v>251</v>
      </c>
      <c r="F33" s="8" t="s">
        <v>58</v>
      </c>
      <c r="G33" s="8" t="s">
        <v>252</v>
      </c>
      <c r="H33" s="8" t="n">
        <v>0</v>
      </c>
      <c r="I33" s="8" t="s">
        <v>76</v>
      </c>
      <c r="J33" s="8" t="s">
        <v>61</v>
      </c>
      <c r="K33" s="8" t="s">
        <v>154</v>
      </c>
      <c r="L33" s="8" t="s">
        <v>253</v>
      </c>
    </row>
    <row r="34" customFormat="false" ht="23.85" hidden="false" customHeight="false" outlineLevel="0" collapsed="false">
      <c r="A34" s="8" t="s">
        <v>254</v>
      </c>
      <c r="B34" s="8" t="s">
        <v>255</v>
      </c>
      <c r="C34" s="2" t="s">
        <v>256</v>
      </c>
      <c r="D34" s="8" t="n">
        <v>2025</v>
      </c>
      <c r="E34" s="8" t="s">
        <v>257</v>
      </c>
      <c r="F34" s="8" t="s">
        <v>58</v>
      </c>
      <c r="G34" s="8" t="s">
        <v>258</v>
      </c>
      <c r="H34" s="8" t="n">
        <v>0</v>
      </c>
      <c r="I34" s="8" t="s">
        <v>106</v>
      </c>
      <c r="J34" s="8" t="s">
        <v>61</v>
      </c>
      <c r="K34" s="8" t="s">
        <v>62</v>
      </c>
      <c r="L34" s="8" t="s">
        <v>259</v>
      </c>
    </row>
    <row r="35" customFormat="false" ht="23.85" hidden="false" customHeight="false" outlineLevel="0" collapsed="false">
      <c r="A35" s="8" t="s">
        <v>260</v>
      </c>
      <c r="B35" s="8" t="s">
        <v>261</v>
      </c>
      <c r="C35" s="2" t="s">
        <v>262</v>
      </c>
      <c r="D35" s="8" t="n">
        <v>2025</v>
      </c>
      <c r="E35" s="8" t="s">
        <v>263</v>
      </c>
      <c r="F35" s="8" t="s">
        <v>83</v>
      </c>
      <c r="G35" s="8" t="s">
        <v>264</v>
      </c>
      <c r="H35" s="8" t="n">
        <v>0</v>
      </c>
      <c r="I35" s="8" t="s">
        <v>99</v>
      </c>
      <c r="J35" s="8" t="s">
        <v>61</v>
      </c>
      <c r="K35" s="8" t="s">
        <v>62</v>
      </c>
      <c r="L35" s="8" t="s">
        <v>265</v>
      </c>
    </row>
    <row r="36" customFormat="false" ht="23.85" hidden="false" customHeight="false" outlineLevel="0" collapsed="false">
      <c r="A36" s="8" t="s">
        <v>266</v>
      </c>
      <c r="B36" s="8" t="s">
        <v>267</v>
      </c>
      <c r="C36" s="2" t="s">
        <v>268</v>
      </c>
      <c r="D36" s="8" t="n">
        <v>2025</v>
      </c>
      <c r="E36" s="8" t="s">
        <v>57</v>
      </c>
      <c r="F36" s="8" t="s">
        <v>58</v>
      </c>
      <c r="G36" s="8" t="s">
        <v>269</v>
      </c>
      <c r="H36" s="8" t="n">
        <v>2</v>
      </c>
      <c r="I36" s="8" t="s">
        <v>76</v>
      </c>
      <c r="J36" s="8" t="s">
        <v>61</v>
      </c>
      <c r="K36" s="8" t="s">
        <v>62</v>
      </c>
      <c r="L36" s="8" t="s">
        <v>270</v>
      </c>
    </row>
    <row r="37" customFormat="false" ht="15" hidden="false" customHeight="false" outlineLevel="0" collapsed="false">
      <c r="A37" s="8" t="s">
        <v>271</v>
      </c>
      <c r="B37" s="8" t="s">
        <v>272</v>
      </c>
      <c r="C37" s="2" t="s">
        <v>273</v>
      </c>
      <c r="D37" s="8" t="n">
        <v>2025</v>
      </c>
      <c r="E37" s="8" t="s">
        <v>274</v>
      </c>
      <c r="F37" s="8" t="s">
        <v>58</v>
      </c>
      <c r="G37" s="8" t="s">
        <v>275</v>
      </c>
      <c r="H37" s="8" t="n">
        <v>0</v>
      </c>
      <c r="I37" s="8" t="s">
        <v>60</v>
      </c>
      <c r="J37" s="8" t="s">
        <v>61</v>
      </c>
      <c r="K37" s="8" t="s">
        <v>154</v>
      </c>
      <c r="L37" s="8" t="s">
        <v>276</v>
      </c>
    </row>
    <row r="38" customFormat="false" ht="23.85" hidden="false" customHeight="false" outlineLevel="0" collapsed="false">
      <c r="A38" s="8" t="s">
        <v>277</v>
      </c>
      <c r="B38" s="8" t="s">
        <v>278</v>
      </c>
      <c r="C38" s="2" t="s">
        <v>279</v>
      </c>
      <c r="D38" s="8" t="n">
        <v>2025</v>
      </c>
      <c r="E38" s="8" t="s">
        <v>165</v>
      </c>
      <c r="F38" s="8" t="s">
        <v>58</v>
      </c>
      <c r="G38" s="8" t="s">
        <v>280</v>
      </c>
      <c r="H38" s="8" t="n">
        <v>3</v>
      </c>
      <c r="I38" s="8" t="s">
        <v>130</v>
      </c>
      <c r="J38" s="8" t="s">
        <v>61</v>
      </c>
      <c r="K38" s="8" t="s">
        <v>62</v>
      </c>
      <c r="L38" s="8" t="s">
        <v>281</v>
      </c>
    </row>
    <row r="39" customFormat="false" ht="23.85" hidden="false" customHeight="false" outlineLevel="0" collapsed="false">
      <c r="A39" s="8" t="s">
        <v>282</v>
      </c>
      <c r="B39" s="8" t="s">
        <v>283</v>
      </c>
      <c r="C39" s="2" t="s">
        <v>284</v>
      </c>
      <c r="D39" s="8" t="n">
        <v>2024</v>
      </c>
      <c r="E39" s="8" t="s">
        <v>285</v>
      </c>
      <c r="F39" s="8" t="s">
        <v>58</v>
      </c>
      <c r="G39" s="8" t="s">
        <v>286</v>
      </c>
      <c r="H39" s="8" t="n">
        <v>1</v>
      </c>
      <c r="I39" s="8" t="s">
        <v>60</v>
      </c>
      <c r="J39" s="8" t="s">
        <v>61</v>
      </c>
      <c r="K39" s="8" t="s">
        <v>62</v>
      </c>
      <c r="L39" s="8" t="s">
        <v>287</v>
      </c>
    </row>
    <row r="40" customFormat="false" ht="15" hidden="false" customHeight="false" outlineLevel="0" collapsed="false">
      <c r="A40" s="8" t="s">
        <v>288</v>
      </c>
      <c r="B40" s="8" t="s">
        <v>289</v>
      </c>
      <c r="C40" s="2" t="s">
        <v>290</v>
      </c>
      <c r="D40" s="8" t="n">
        <v>2024</v>
      </c>
      <c r="E40" s="8" t="s">
        <v>291</v>
      </c>
      <c r="F40" s="8" t="s">
        <v>83</v>
      </c>
      <c r="G40" s="8" t="s">
        <v>292</v>
      </c>
      <c r="H40" s="8" t="n">
        <v>11</v>
      </c>
      <c r="I40" s="8" t="s">
        <v>293</v>
      </c>
      <c r="J40" s="8" t="s">
        <v>61</v>
      </c>
      <c r="K40" s="8" t="s">
        <v>62</v>
      </c>
      <c r="L40" s="8" t="s">
        <v>294</v>
      </c>
    </row>
    <row r="41" customFormat="false" ht="23.85" hidden="false" customHeight="false" outlineLevel="0" collapsed="false">
      <c r="A41" s="8" t="s">
        <v>295</v>
      </c>
      <c r="B41" s="8" t="s">
        <v>296</v>
      </c>
      <c r="C41" s="2" t="s">
        <v>297</v>
      </c>
      <c r="D41" s="8" t="n">
        <v>2024</v>
      </c>
      <c r="E41" s="8" t="s">
        <v>298</v>
      </c>
      <c r="F41" s="8" t="s">
        <v>58</v>
      </c>
      <c r="G41" s="8"/>
      <c r="H41" s="8" t="n">
        <v>3</v>
      </c>
      <c r="I41" s="8" t="s">
        <v>99</v>
      </c>
      <c r="J41" s="8" t="s">
        <v>61</v>
      </c>
      <c r="K41" s="8" t="s">
        <v>62</v>
      </c>
      <c r="L41" s="8" t="s">
        <v>299</v>
      </c>
    </row>
    <row r="42" customFormat="false" ht="15" hidden="false" customHeight="false" outlineLevel="0" collapsed="false">
      <c r="A42" s="8" t="s">
        <v>300</v>
      </c>
      <c r="B42" s="8" t="s">
        <v>301</v>
      </c>
      <c r="C42" s="2" t="s">
        <v>302</v>
      </c>
      <c r="D42" s="8" t="n">
        <v>2024</v>
      </c>
      <c r="E42" s="8" t="s">
        <v>298</v>
      </c>
      <c r="F42" s="8" t="s">
        <v>58</v>
      </c>
      <c r="G42" s="8" t="s">
        <v>303</v>
      </c>
      <c r="H42" s="8" t="n">
        <v>1</v>
      </c>
      <c r="I42" s="8" t="s">
        <v>76</v>
      </c>
      <c r="J42" s="8" t="s">
        <v>77</v>
      </c>
      <c r="K42" s="8" t="s">
        <v>62</v>
      </c>
      <c r="L42" s="8" t="s">
        <v>304</v>
      </c>
    </row>
    <row r="43" customFormat="false" ht="23.85" hidden="false" customHeight="false" outlineLevel="0" collapsed="false">
      <c r="A43" s="8" t="s">
        <v>305</v>
      </c>
      <c r="B43" s="8" t="s">
        <v>306</v>
      </c>
      <c r="C43" s="2" t="s">
        <v>307</v>
      </c>
      <c r="D43" s="8" t="n">
        <v>2024</v>
      </c>
      <c r="E43" s="8" t="s">
        <v>308</v>
      </c>
      <c r="F43" s="8" t="s">
        <v>58</v>
      </c>
      <c r="G43" s="8" t="s">
        <v>309</v>
      </c>
      <c r="H43" s="8" t="n">
        <v>2</v>
      </c>
      <c r="I43" s="8" t="s">
        <v>106</v>
      </c>
      <c r="J43" s="8" t="s">
        <v>61</v>
      </c>
      <c r="K43" s="8" t="s">
        <v>62</v>
      </c>
      <c r="L43" s="8" t="s">
        <v>310</v>
      </c>
    </row>
    <row r="44" customFormat="false" ht="15" hidden="false" customHeight="false" outlineLevel="0" collapsed="false">
      <c r="A44" s="8" t="s">
        <v>311</v>
      </c>
      <c r="B44" s="8" t="s">
        <v>312</v>
      </c>
      <c r="C44" s="2" t="s">
        <v>313</v>
      </c>
      <c r="D44" s="8" t="n">
        <v>2024</v>
      </c>
      <c r="E44" s="8" t="s">
        <v>57</v>
      </c>
      <c r="F44" s="8" t="s">
        <v>58</v>
      </c>
      <c r="G44" s="8" t="s">
        <v>314</v>
      </c>
      <c r="H44" s="8" t="n">
        <v>4</v>
      </c>
      <c r="I44" s="8" t="s">
        <v>99</v>
      </c>
      <c r="J44" s="8" t="s">
        <v>61</v>
      </c>
      <c r="K44" s="8" t="s">
        <v>62</v>
      </c>
      <c r="L44" s="8" t="s">
        <v>315</v>
      </c>
    </row>
    <row r="45" customFormat="false" ht="23.85" hidden="false" customHeight="false" outlineLevel="0" collapsed="false">
      <c r="A45" s="8" t="s">
        <v>316</v>
      </c>
      <c r="B45" s="8" t="s">
        <v>317</v>
      </c>
      <c r="C45" s="2" t="s">
        <v>318</v>
      </c>
      <c r="D45" s="8" t="n">
        <v>2024</v>
      </c>
      <c r="E45" s="8" t="s">
        <v>298</v>
      </c>
      <c r="F45" s="8" t="s">
        <v>58</v>
      </c>
      <c r="G45" s="8"/>
      <c r="H45" s="8" t="n">
        <v>0</v>
      </c>
      <c r="I45" s="8" t="s">
        <v>130</v>
      </c>
      <c r="J45" s="8" t="s">
        <v>61</v>
      </c>
      <c r="K45" s="8" t="s">
        <v>62</v>
      </c>
      <c r="L45" s="8" t="s">
        <v>319</v>
      </c>
    </row>
    <row r="46" customFormat="false" ht="23.85" hidden="false" customHeight="false" outlineLevel="0" collapsed="false">
      <c r="A46" s="8" t="s">
        <v>320</v>
      </c>
      <c r="B46" s="8" t="s">
        <v>321</v>
      </c>
      <c r="C46" s="2" t="s">
        <v>322</v>
      </c>
      <c r="D46" s="8" t="n">
        <v>2024</v>
      </c>
      <c r="E46" s="8" t="s">
        <v>323</v>
      </c>
      <c r="F46" s="8" t="s">
        <v>83</v>
      </c>
      <c r="G46" s="8" t="s">
        <v>324</v>
      </c>
      <c r="H46" s="8" t="n">
        <v>9</v>
      </c>
      <c r="I46" s="8" t="s">
        <v>325</v>
      </c>
      <c r="J46" s="8" t="s">
        <v>61</v>
      </c>
      <c r="K46" s="8" t="s">
        <v>62</v>
      </c>
      <c r="L46" s="8" t="s">
        <v>326</v>
      </c>
    </row>
    <row r="47" customFormat="false" ht="23.85" hidden="false" customHeight="false" outlineLevel="0" collapsed="false">
      <c r="A47" s="8" t="s">
        <v>327</v>
      </c>
      <c r="B47" s="8" t="s">
        <v>328</v>
      </c>
      <c r="C47" s="2" t="s">
        <v>329</v>
      </c>
      <c r="D47" s="8" t="n">
        <v>2024</v>
      </c>
      <c r="E47" s="8" t="s">
        <v>330</v>
      </c>
      <c r="F47" s="8" t="s">
        <v>58</v>
      </c>
      <c r="G47" s="8" t="s">
        <v>331</v>
      </c>
      <c r="H47" s="8" t="n">
        <v>0</v>
      </c>
      <c r="I47" s="8" t="s">
        <v>76</v>
      </c>
      <c r="J47" s="8" t="s">
        <v>61</v>
      </c>
      <c r="K47" s="8" t="s">
        <v>62</v>
      </c>
      <c r="L47" s="8" t="s">
        <v>332</v>
      </c>
    </row>
    <row r="48" customFormat="false" ht="23.85" hidden="false" customHeight="false" outlineLevel="0" collapsed="false">
      <c r="A48" s="8" t="s">
        <v>333</v>
      </c>
      <c r="B48" s="8" t="s">
        <v>334</v>
      </c>
      <c r="C48" s="2" t="s">
        <v>335</v>
      </c>
      <c r="D48" s="8" t="n">
        <v>2024</v>
      </c>
      <c r="E48" s="8" t="s">
        <v>336</v>
      </c>
      <c r="F48" s="8" t="s">
        <v>58</v>
      </c>
      <c r="G48" s="8" t="s">
        <v>337</v>
      </c>
      <c r="H48" s="8" t="n">
        <v>2</v>
      </c>
      <c r="I48" s="8" t="s">
        <v>76</v>
      </c>
      <c r="J48" s="8" t="s">
        <v>61</v>
      </c>
      <c r="K48" s="8" t="s">
        <v>154</v>
      </c>
      <c r="L48" s="8" t="s">
        <v>338</v>
      </c>
    </row>
    <row r="49" customFormat="false" ht="15" hidden="false" customHeight="false" outlineLevel="0" collapsed="false">
      <c r="A49" s="8" t="s">
        <v>339</v>
      </c>
      <c r="B49" s="8" t="s">
        <v>340</v>
      </c>
      <c r="C49" s="2" t="s">
        <v>341</v>
      </c>
      <c r="D49" s="8" t="n">
        <v>2023</v>
      </c>
      <c r="E49" s="8" t="s">
        <v>194</v>
      </c>
      <c r="F49" s="8" t="s">
        <v>83</v>
      </c>
      <c r="G49" s="8" t="s">
        <v>342</v>
      </c>
      <c r="H49" s="8" t="n">
        <v>4</v>
      </c>
      <c r="I49" s="8" t="s">
        <v>343</v>
      </c>
      <c r="J49" s="8" t="s">
        <v>61</v>
      </c>
      <c r="K49" s="8" t="s">
        <v>154</v>
      </c>
      <c r="L49" s="8" t="s">
        <v>344</v>
      </c>
    </row>
    <row r="50" customFormat="false" ht="23.85" hidden="false" customHeight="false" outlineLevel="0" collapsed="false">
      <c r="A50" s="8" t="s">
        <v>345</v>
      </c>
      <c r="B50" s="8" t="s">
        <v>346</v>
      </c>
      <c r="C50" s="2" t="s">
        <v>347</v>
      </c>
      <c r="D50" s="8" t="n">
        <v>2023</v>
      </c>
      <c r="E50" s="8" t="s">
        <v>348</v>
      </c>
      <c r="F50" s="8" t="s">
        <v>83</v>
      </c>
      <c r="G50" s="8" t="s">
        <v>349</v>
      </c>
      <c r="H50" s="8" t="n">
        <v>13</v>
      </c>
      <c r="I50" s="8" t="s">
        <v>68</v>
      </c>
      <c r="J50" s="8" t="s">
        <v>61</v>
      </c>
      <c r="K50" s="8" t="s">
        <v>62</v>
      </c>
      <c r="L50" s="8" t="s">
        <v>350</v>
      </c>
    </row>
    <row r="51" customFormat="false" ht="23.85" hidden="false" customHeight="false" outlineLevel="0" collapsed="false">
      <c r="A51" s="8" t="s">
        <v>351</v>
      </c>
      <c r="B51" s="8" t="s">
        <v>352</v>
      </c>
      <c r="C51" s="2" t="s">
        <v>353</v>
      </c>
      <c r="D51" s="8" t="n">
        <v>2023</v>
      </c>
      <c r="E51" s="8" t="s">
        <v>57</v>
      </c>
      <c r="F51" s="8" t="s">
        <v>58</v>
      </c>
      <c r="G51" s="8" t="s">
        <v>354</v>
      </c>
      <c r="H51" s="8" t="n">
        <v>7</v>
      </c>
      <c r="I51" s="8" t="s">
        <v>76</v>
      </c>
      <c r="J51" s="8" t="s">
        <v>61</v>
      </c>
      <c r="K51" s="8" t="s">
        <v>154</v>
      </c>
      <c r="L51" s="8" t="s">
        <v>355</v>
      </c>
    </row>
    <row r="52" customFormat="false" ht="15" hidden="false" customHeight="false" outlineLevel="0" collapsed="false">
      <c r="A52" s="8" t="s">
        <v>356</v>
      </c>
      <c r="B52" s="8" t="s">
        <v>357</v>
      </c>
      <c r="C52" s="2" t="s">
        <v>358</v>
      </c>
      <c r="D52" s="8" t="n">
        <v>2023</v>
      </c>
      <c r="E52" s="8" t="s">
        <v>359</v>
      </c>
      <c r="F52" s="8" t="s">
        <v>90</v>
      </c>
      <c r="G52" s="8" t="s">
        <v>360</v>
      </c>
      <c r="H52" s="8" t="n">
        <v>1</v>
      </c>
      <c r="I52" s="8" t="s">
        <v>99</v>
      </c>
      <c r="J52" s="8" t="s">
        <v>61</v>
      </c>
      <c r="K52" s="8" t="s">
        <v>62</v>
      </c>
      <c r="L52" s="8" t="s">
        <v>361</v>
      </c>
    </row>
    <row r="53" customFormat="false" ht="15" hidden="false" customHeight="false" outlineLevel="0" collapsed="false">
      <c r="A53" s="8" t="s">
        <v>362</v>
      </c>
      <c r="B53" s="8" t="s">
        <v>363</v>
      </c>
      <c r="C53" s="2" t="s">
        <v>364</v>
      </c>
      <c r="D53" s="8" t="n">
        <v>2023</v>
      </c>
      <c r="E53" s="8" t="s">
        <v>365</v>
      </c>
      <c r="F53" s="8" t="s">
        <v>58</v>
      </c>
      <c r="G53" s="8" t="s">
        <v>366</v>
      </c>
      <c r="H53" s="8" t="n">
        <v>5</v>
      </c>
      <c r="I53" s="8" t="s">
        <v>130</v>
      </c>
      <c r="J53" s="8" t="s">
        <v>61</v>
      </c>
      <c r="K53" s="8" t="s">
        <v>62</v>
      </c>
      <c r="L53" s="8" t="s">
        <v>367</v>
      </c>
    </row>
    <row r="54" customFormat="false" ht="23.85" hidden="false" customHeight="false" outlineLevel="0" collapsed="false">
      <c r="A54" s="8" t="s">
        <v>368</v>
      </c>
      <c r="B54" s="8" t="s">
        <v>369</v>
      </c>
      <c r="C54" s="2" t="s">
        <v>370</v>
      </c>
      <c r="D54" s="8" t="n">
        <v>2023</v>
      </c>
      <c r="E54" s="8" t="s">
        <v>371</v>
      </c>
      <c r="F54" s="8" t="s">
        <v>58</v>
      </c>
      <c r="G54" s="8" t="s">
        <v>372</v>
      </c>
      <c r="H54" s="8" t="n">
        <v>10</v>
      </c>
      <c r="I54" s="8" t="s">
        <v>325</v>
      </c>
      <c r="J54" s="8" t="s">
        <v>61</v>
      </c>
      <c r="K54" s="8" t="s">
        <v>62</v>
      </c>
      <c r="L54" s="8" t="s">
        <v>373</v>
      </c>
    </row>
    <row r="55" customFormat="false" ht="23.85" hidden="false" customHeight="false" outlineLevel="0" collapsed="false">
      <c r="A55" s="8" t="s">
        <v>374</v>
      </c>
      <c r="B55" s="8" t="s">
        <v>375</v>
      </c>
      <c r="C55" s="2" t="s">
        <v>376</v>
      </c>
      <c r="D55" s="8" t="n">
        <v>2023</v>
      </c>
      <c r="E55" s="8" t="s">
        <v>194</v>
      </c>
      <c r="F55" s="8" t="s">
        <v>83</v>
      </c>
      <c r="G55" s="8" t="s">
        <v>377</v>
      </c>
      <c r="H55" s="8" t="n">
        <v>10</v>
      </c>
      <c r="I55" s="8" t="s">
        <v>130</v>
      </c>
      <c r="J55" s="8" t="s">
        <v>61</v>
      </c>
      <c r="K55" s="8" t="s">
        <v>62</v>
      </c>
      <c r="L55" s="8" t="s">
        <v>378</v>
      </c>
    </row>
    <row r="56" customFormat="false" ht="23.85" hidden="false" customHeight="false" outlineLevel="0" collapsed="false">
      <c r="A56" s="8" t="s">
        <v>379</v>
      </c>
      <c r="B56" s="8" t="s">
        <v>380</v>
      </c>
      <c r="C56" s="2" t="s">
        <v>381</v>
      </c>
      <c r="D56" s="8" t="n">
        <v>2023</v>
      </c>
      <c r="E56" s="8" t="s">
        <v>382</v>
      </c>
      <c r="F56" s="8" t="s">
        <v>58</v>
      </c>
      <c r="G56" s="8" t="s">
        <v>383</v>
      </c>
      <c r="H56" s="8" t="n">
        <v>2</v>
      </c>
      <c r="I56" s="8" t="s">
        <v>106</v>
      </c>
      <c r="J56" s="8" t="s">
        <v>61</v>
      </c>
      <c r="K56" s="8" t="s">
        <v>62</v>
      </c>
      <c r="L56" s="8" t="s">
        <v>384</v>
      </c>
    </row>
    <row r="57" customFormat="false" ht="15" hidden="false" customHeight="false" outlineLevel="0" collapsed="false">
      <c r="A57" s="8" t="s">
        <v>385</v>
      </c>
      <c r="B57" s="8" t="s">
        <v>357</v>
      </c>
      <c r="C57" s="2" t="s">
        <v>386</v>
      </c>
      <c r="D57" s="8" t="n">
        <v>2023</v>
      </c>
      <c r="E57" s="8" t="s">
        <v>359</v>
      </c>
      <c r="F57" s="8" t="s">
        <v>90</v>
      </c>
      <c r="G57" s="8" t="s">
        <v>387</v>
      </c>
      <c r="H57" s="8" t="n">
        <v>0</v>
      </c>
      <c r="I57" s="8" t="s">
        <v>99</v>
      </c>
      <c r="J57" s="8" t="s">
        <v>61</v>
      </c>
      <c r="K57" s="8" t="s">
        <v>62</v>
      </c>
      <c r="L57" s="8" t="s">
        <v>388</v>
      </c>
    </row>
    <row r="58" customFormat="false" ht="23.85" hidden="false" customHeight="false" outlineLevel="0" collapsed="false">
      <c r="A58" s="8" t="s">
        <v>389</v>
      </c>
      <c r="B58" s="8" t="s">
        <v>390</v>
      </c>
      <c r="C58" s="2" t="s">
        <v>391</v>
      </c>
      <c r="D58" s="8" t="n">
        <v>2023</v>
      </c>
      <c r="E58" s="8" t="s">
        <v>194</v>
      </c>
      <c r="F58" s="8" t="s">
        <v>83</v>
      </c>
      <c r="G58" s="8" t="s">
        <v>392</v>
      </c>
      <c r="H58" s="8" t="n">
        <v>1</v>
      </c>
      <c r="I58" s="8" t="s">
        <v>142</v>
      </c>
      <c r="J58" s="8" t="s">
        <v>61</v>
      </c>
      <c r="K58" s="8" t="s">
        <v>62</v>
      </c>
      <c r="L58" s="8" t="s">
        <v>393</v>
      </c>
    </row>
    <row r="59" customFormat="false" ht="15" hidden="false" customHeight="false" outlineLevel="0" collapsed="false">
      <c r="A59" s="8" t="s">
        <v>394</v>
      </c>
      <c r="B59" s="8" t="s">
        <v>395</v>
      </c>
      <c r="C59" s="2" t="s">
        <v>396</v>
      </c>
      <c r="D59" s="8" t="n">
        <v>2023</v>
      </c>
      <c r="E59" s="8" t="s">
        <v>397</v>
      </c>
      <c r="F59" s="8" t="s">
        <v>58</v>
      </c>
      <c r="G59" s="8" t="s">
        <v>398</v>
      </c>
      <c r="H59" s="8" t="n">
        <v>0</v>
      </c>
      <c r="I59" s="8" t="s">
        <v>92</v>
      </c>
      <c r="J59" s="8" t="s">
        <v>61</v>
      </c>
      <c r="K59" s="8" t="s">
        <v>62</v>
      </c>
      <c r="L59" s="8" t="s">
        <v>399</v>
      </c>
    </row>
    <row r="60" customFormat="false" ht="23.85" hidden="false" customHeight="false" outlineLevel="0" collapsed="false">
      <c r="A60" s="8" t="s">
        <v>400</v>
      </c>
      <c r="B60" s="8" t="s">
        <v>401</v>
      </c>
      <c r="C60" s="2" t="s">
        <v>402</v>
      </c>
      <c r="D60" s="8" t="n">
        <v>2023</v>
      </c>
      <c r="E60" s="8" t="s">
        <v>403</v>
      </c>
      <c r="F60" s="8" t="s">
        <v>58</v>
      </c>
      <c r="G60" s="8" t="s">
        <v>404</v>
      </c>
      <c r="H60" s="8" t="n">
        <v>3</v>
      </c>
      <c r="I60" s="8" t="s">
        <v>99</v>
      </c>
      <c r="J60" s="8" t="s">
        <v>61</v>
      </c>
      <c r="K60" s="8" t="s">
        <v>62</v>
      </c>
      <c r="L60" s="8" t="s">
        <v>405</v>
      </c>
    </row>
    <row r="61" customFormat="false" ht="23.85" hidden="false" customHeight="false" outlineLevel="0" collapsed="false">
      <c r="A61" s="8" t="s">
        <v>406</v>
      </c>
      <c r="B61" s="8" t="s">
        <v>407</v>
      </c>
      <c r="C61" s="2" t="s">
        <v>408</v>
      </c>
      <c r="D61" s="8" t="n">
        <v>2023</v>
      </c>
      <c r="E61" s="8" t="s">
        <v>57</v>
      </c>
      <c r="F61" s="8" t="s">
        <v>58</v>
      </c>
      <c r="G61" s="8" t="s">
        <v>409</v>
      </c>
      <c r="H61" s="8" t="n">
        <v>3</v>
      </c>
      <c r="I61" s="8" t="s">
        <v>76</v>
      </c>
      <c r="J61" s="8" t="s">
        <v>61</v>
      </c>
      <c r="K61" s="8" t="s">
        <v>154</v>
      </c>
      <c r="L61" s="8" t="s">
        <v>410</v>
      </c>
    </row>
    <row r="62" customFormat="false" ht="23.85" hidden="false" customHeight="false" outlineLevel="0" collapsed="false">
      <c r="A62" s="8" t="s">
        <v>411</v>
      </c>
      <c r="B62" s="8" t="s">
        <v>412</v>
      </c>
      <c r="C62" s="2" t="s">
        <v>413</v>
      </c>
      <c r="D62" s="8" t="n">
        <v>2022</v>
      </c>
      <c r="E62" s="8" t="s">
        <v>414</v>
      </c>
      <c r="F62" s="8" t="s">
        <v>58</v>
      </c>
      <c r="G62" s="8" t="s">
        <v>415</v>
      </c>
      <c r="H62" s="8" t="n">
        <v>5</v>
      </c>
      <c r="I62" s="8" t="s">
        <v>416</v>
      </c>
      <c r="J62" s="8" t="s">
        <v>61</v>
      </c>
      <c r="K62" s="8" t="s">
        <v>62</v>
      </c>
      <c r="L62" s="8" t="s">
        <v>417</v>
      </c>
    </row>
    <row r="63" customFormat="false" ht="15" hidden="false" customHeight="false" outlineLevel="0" collapsed="false">
      <c r="A63" s="8" t="s">
        <v>418</v>
      </c>
      <c r="B63" s="8" t="s">
        <v>419</v>
      </c>
      <c r="C63" s="2" t="s">
        <v>420</v>
      </c>
      <c r="D63" s="8" t="n">
        <v>2022</v>
      </c>
      <c r="E63" s="8" t="s">
        <v>421</v>
      </c>
      <c r="F63" s="8" t="s">
        <v>83</v>
      </c>
      <c r="G63" s="8" t="s">
        <v>422</v>
      </c>
      <c r="H63" s="8" t="n">
        <v>14</v>
      </c>
      <c r="I63" s="8" t="s">
        <v>325</v>
      </c>
      <c r="J63" s="8" t="s">
        <v>61</v>
      </c>
      <c r="K63" s="8" t="s">
        <v>62</v>
      </c>
      <c r="L63" s="8" t="s">
        <v>423</v>
      </c>
    </row>
    <row r="64" customFormat="false" ht="23.85" hidden="false" customHeight="false" outlineLevel="0" collapsed="false">
      <c r="A64" s="8" t="s">
        <v>424</v>
      </c>
      <c r="B64" s="8" t="s">
        <v>425</v>
      </c>
      <c r="C64" s="2" t="s">
        <v>426</v>
      </c>
      <c r="D64" s="8" t="n">
        <v>2022</v>
      </c>
      <c r="E64" s="8" t="s">
        <v>291</v>
      </c>
      <c r="F64" s="8" t="s">
        <v>83</v>
      </c>
      <c r="G64" s="8" t="s">
        <v>427</v>
      </c>
      <c r="H64" s="8" t="n">
        <v>76</v>
      </c>
      <c r="I64" s="8" t="s">
        <v>76</v>
      </c>
      <c r="J64" s="8" t="s">
        <v>77</v>
      </c>
      <c r="K64" s="8" t="s">
        <v>62</v>
      </c>
      <c r="L64" s="8" t="s">
        <v>428</v>
      </c>
    </row>
    <row r="65" customFormat="false" ht="23.85" hidden="false" customHeight="false" outlineLevel="0" collapsed="false">
      <c r="A65" s="8" t="s">
        <v>429</v>
      </c>
      <c r="B65" s="8" t="s">
        <v>430</v>
      </c>
      <c r="C65" s="2" t="s">
        <v>431</v>
      </c>
      <c r="D65" s="8" t="n">
        <v>2022</v>
      </c>
      <c r="E65" s="8" t="s">
        <v>432</v>
      </c>
      <c r="F65" s="8" t="s">
        <v>74</v>
      </c>
      <c r="G65" s="8" t="s">
        <v>433</v>
      </c>
      <c r="H65" s="8" t="n">
        <v>107</v>
      </c>
      <c r="I65" s="8" t="s">
        <v>76</v>
      </c>
      <c r="J65" s="8" t="s">
        <v>77</v>
      </c>
      <c r="K65" s="8" t="s">
        <v>62</v>
      </c>
      <c r="L65" s="8" t="s">
        <v>434</v>
      </c>
    </row>
    <row r="66" customFormat="false" ht="15" hidden="false" customHeight="false" outlineLevel="0" collapsed="false">
      <c r="A66" s="8" t="s">
        <v>435</v>
      </c>
      <c r="B66" s="8" t="s">
        <v>436</v>
      </c>
      <c r="C66" s="2" t="s">
        <v>437</v>
      </c>
      <c r="D66" s="8" t="n">
        <v>2022</v>
      </c>
      <c r="E66" s="8" t="s">
        <v>57</v>
      </c>
      <c r="F66" s="8" t="s">
        <v>58</v>
      </c>
      <c r="G66" s="8" t="s">
        <v>438</v>
      </c>
      <c r="H66" s="8" t="n">
        <v>4</v>
      </c>
      <c r="I66" s="8" t="s">
        <v>76</v>
      </c>
      <c r="J66" s="8" t="s">
        <v>61</v>
      </c>
      <c r="K66" s="8" t="s">
        <v>62</v>
      </c>
      <c r="L66" s="8" t="s">
        <v>439</v>
      </c>
    </row>
    <row r="67" customFormat="false" ht="23.85" hidden="false" customHeight="false" outlineLevel="0" collapsed="false">
      <c r="A67" s="8" t="s">
        <v>440</v>
      </c>
      <c r="B67" s="8" t="s">
        <v>441</v>
      </c>
      <c r="C67" s="2" t="s">
        <v>442</v>
      </c>
      <c r="D67" s="8" t="n">
        <v>2022</v>
      </c>
      <c r="E67" s="8" t="s">
        <v>443</v>
      </c>
      <c r="F67" s="8" t="s">
        <v>58</v>
      </c>
      <c r="G67" s="8" t="s">
        <v>444</v>
      </c>
      <c r="H67" s="8" t="n">
        <v>14</v>
      </c>
      <c r="I67" s="8" t="s">
        <v>60</v>
      </c>
      <c r="J67" s="8" t="s">
        <v>61</v>
      </c>
      <c r="K67" s="8" t="s">
        <v>62</v>
      </c>
      <c r="L67" s="8" t="s">
        <v>445</v>
      </c>
    </row>
    <row r="68" customFormat="false" ht="23.85" hidden="false" customHeight="false" outlineLevel="0" collapsed="false">
      <c r="A68" s="8" t="s">
        <v>446</v>
      </c>
      <c r="B68" s="8" t="s">
        <v>447</v>
      </c>
      <c r="C68" s="2" t="s">
        <v>448</v>
      </c>
      <c r="D68" s="8" t="n">
        <v>2022</v>
      </c>
      <c r="E68" s="8" t="s">
        <v>449</v>
      </c>
      <c r="F68" s="8" t="s">
        <v>83</v>
      </c>
      <c r="G68" s="8" t="s">
        <v>450</v>
      </c>
      <c r="H68" s="8" t="n">
        <v>17</v>
      </c>
      <c r="I68" s="8" t="s">
        <v>76</v>
      </c>
      <c r="J68" s="8" t="s">
        <v>61</v>
      </c>
      <c r="K68" s="8" t="s">
        <v>62</v>
      </c>
      <c r="L68" s="8" t="s">
        <v>451</v>
      </c>
    </row>
    <row r="69" customFormat="false" ht="23.85" hidden="false" customHeight="false" outlineLevel="0" collapsed="false">
      <c r="A69" s="8" t="s">
        <v>452</v>
      </c>
      <c r="B69" s="8" t="s">
        <v>453</v>
      </c>
      <c r="C69" s="2" t="s">
        <v>454</v>
      </c>
      <c r="D69" s="8" t="n">
        <v>2022</v>
      </c>
      <c r="E69" s="8" t="s">
        <v>455</v>
      </c>
      <c r="F69" s="8" t="s">
        <v>58</v>
      </c>
      <c r="G69" s="8" t="s">
        <v>456</v>
      </c>
      <c r="H69" s="8" t="n">
        <v>12</v>
      </c>
      <c r="I69" s="8" t="s">
        <v>457</v>
      </c>
      <c r="J69" s="8" t="s">
        <v>61</v>
      </c>
      <c r="K69" s="8" t="s">
        <v>62</v>
      </c>
      <c r="L69" s="8" t="s">
        <v>458</v>
      </c>
    </row>
    <row r="70" customFormat="false" ht="15" hidden="false" customHeight="false" outlineLevel="0" collapsed="false">
      <c r="A70" s="8" t="s">
        <v>459</v>
      </c>
      <c r="B70" s="8" t="s">
        <v>460</v>
      </c>
      <c r="C70" s="2" t="s">
        <v>461</v>
      </c>
      <c r="D70" s="8" t="n">
        <v>2022</v>
      </c>
      <c r="E70" s="8" t="s">
        <v>462</v>
      </c>
      <c r="F70" s="8" t="s">
        <v>58</v>
      </c>
      <c r="G70" s="8" t="s">
        <v>463</v>
      </c>
      <c r="H70" s="8" t="n">
        <v>5</v>
      </c>
      <c r="I70" s="8" t="s">
        <v>464</v>
      </c>
      <c r="J70" s="8" t="s">
        <v>61</v>
      </c>
      <c r="K70" s="8" t="s">
        <v>62</v>
      </c>
      <c r="L70" s="8" t="s">
        <v>465</v>
      </c>
    </row>
    <row r="71" customFormat="false" ht="23.85" hidden="false" customHeight="false" outlineLevel="0" collapsed="false">
      <c r="A71" s="8" t="s">
        <v>466</v>
      </c>
      <c r="B71" s="8" t="s">
        <v>467</v>
      </c>
      <c r="C71" s="2" t="s">
        <v>468</v>
      </c>
      <c r="D71" s="8" t="n">
        <v>2022</v>
      </c>
      <c r="E71" s="8" t="s">
        <v>469</v>
      </c>
      <c r="F71" s="8" t="s">
        <v>58</v>
      </c>
      <c r="G71" s="8" t="s">
        <v>470</v>
      </c>
      <c r="H71" s="8" t="n">
        <v>3</v>
      </c>
      <c r="I71" s="8" t="s">
        <v>76</v>
      </c>
      <c r="J71" s="8" t="s">
        <v>61</v>
      </c>
      <c r="K71" s="8" t="s">
        <v>62</v>
      </c>
      <c r="L71" s="8" t="s">
        <v>471</v>
      </c>
    </row>
    <row r="72" customFormat="false" ht="23.85" hidden="false" customHeight="false" outlineLevel="0" collapsed="false">
      <c r="A72" s="8" t="s">
        <v>472</v>
      </c>
      <c r="B72" s="8" t="s">
        <v>473</v>
      </c>
      <c r="C72" s="2" t="s">
        <v>474</v>
      </c>
      <c r="D72" s="8" t="n">
        <v>2022</v>
      </c>
      <c r="E72" s="8" t="s">
        <v>217</v>
      </c>
      <c r="F72" s="8" t="s">
        <v>58</v>
      </c>
      <c r="G72" s="8" t="s">
        <v>475</v>
      </c>
      <c r="H72" s="8" t="n">
        <v>13</v>
      </c>
      <c r="I72" s="8" t="s">
        <v>476</v>
      </c>
      <c r="J72" s="8" t="s">
        <v>61</v>
      </c>
      <c r="K72" s="8" t="s">
        <v>62</v>
      </c>
      <c r="L72" s="8" t="s">
        <v>477</v>
      </c>
    </row>
    <row r="73" customFormat="false" ht="23.85" hidden="false" customHeight="false" outlineLevel="0" collapsed="false">
      <c r="A73" s="8" t="s">
        <v>478</v>
      </c>
      <c r="B73" s="8" t="s">
        <v>479</v>
      </c>
      <c r="C73" s="2" t="s">
        <v>480</v>
      </c>
      <c r="D73" s="8" t="n">
        <v>2022</v>
      </c>
      <c r="E73" s="8" t="s">
        <v>348</v>
      </c>
      <c r="F73" s="8" t="s">
        <v>83</v>
      </c>
      <c r="G73" s="8" t="s">
        <v>481</v>
      </c>
      <c r="H73" s="8" t="n">
        <v>26</v>
      </c>
      <c r="I73" s="8" t="s">
        <v>76</v>
      </c>
      <c r="J73" s="8" t="s">
        <v>77</v>
      </c>
      <c r="K73" s="8" t="s">
        <v>62</v>
      </c>
      <c r="L73" s="8" t="s">
        <v>482</v>
      </c>
    </row>
    <row r="74" customFormat="false" ht="15" hidden="false" customHeight="false" outlineLevel="0" collapsed="false">
      <c r="A74" s="8" t="s">
        <v>483</v>
      </c>
      <c r="B74" s="8" t="s">
        <v>484</v>
      </c>
      <c r="C74" s="2" t="s">
        <v>485</v>
      </c>
      <c r="D74" s="8" t="n">
        <v>2021</v>
      </c>
      <c r="E74" s="8" t="s">
        <v>57</v>
      </c>
      <c r="F74" s="8" t="s">
        <v>58</v>
      </c>
      <c r="G74" s="8" t="s">
        <v>486</v>
      </c>
      <c r="H74" s="8" t="n">
        <v>9</v>
      </c>
      <c r="I74" s="8" t="s">
        <v>416</v>
      </c>
      <c r="J74" s="8" t="s">
        <v>61</v>
      </c>
      <c r="K74" s="8" t="s">
        <v>62</v>
      </c>
      <c r="L74" s="8" t="s">
        <v>487</v>
      </c>
    </row>
    <row r="75" customFormat="false" ht="15" hidden="false" customHeight="false" outlineLevel="0" collapsed="false">
      <c r="A75" s="8" t="s">
        <v>488</v>
      </c>
      <c r="B75" s="8" t="s">
        <v>489</v>
      </c>
      <c r="C75" s="2" t="s">
        <v>490</v>
      </c>
      <c r="D75" s="8" t="n">
        <v>2021</v>
      </c>
      <c r="E75" s="8" t="s">
        <v>57</v>
      </c>
      <c r="F75" s="8" t="s">
        <v>58</v>
      </c>
      <c r="G75" s="8" t="s">
        <v>491</v>
      </c>
      <c r="H75" s="8" t="n">
        <v>0</v>
      </c>
      <c r="I75" s="8" t="s">
        <v>76</v>
      </c>
      <c r="J75" s="8" t="s">
        <v>61</v>
      </c>
      <c r="K75" s="8" t="s">
        <v>62</v>
      </c>
      <c r="L75" s="8" t="s">
        <v>492</v>
      </c>
    </row>
    <row r="76" customFormat="false" ht="23.85" hidden="false" customHeight="false" outlineLevel="0" collapsed="false">
      <c r="A76" s="8" t="s">
        <v>493</v>
      </c>
      <c r="B76" s="8" t="s">
        <v>494</v>
      </c>
      <c r="C76" s="2" t="s">
        <v>495</v>
      </c>
      <c r="D76" s="8" t="n">
        <v>2021</v>
      </c>
      <c r="E76" s="8" t="s">
        <v>57</v>
      </c>
      <c r="F76" s="8" t="s">
        <v>58</v>
      </c>
      <c r="G76" s="8" t="s">
        <v>496</v>
      </c>
      <c r="H76" s="8" t="n">
        <v>36</v>
      </c>
      <c r="I76" s="8" t="s">
        <v>497</v>
      </c>
      <c r="J76" s="8" t="s">
        <v>77</v>
      </c>
      <c r="K76" s="8" t="s">
        <v>62</v>
      </c>
      <c r="L76" s="8" t="s">
        <v>498</v>
      </c>
    </row>
    <row r="77" customFormat="false" ht="15" hidden="false" customHeight="false" outlineLevel="0" collapsed="false">
      <c r="A77" s="8" t="s">
        <v>499</v>
      </c>
      <c r="B77" s="8" t="s">
        <v>500</v>
      </c>
      <c r="C77" s="2" t="s">
        <v>501</v>
      </c>
      <c r="D77" s="8" t="n">
        <v>2021</v>
      </c>
      <c r="E77" s="8" t="s">
        <v>502</v>
      </c>
      <c r="F77" s="8" t="s">
        <v>83</v>
      </c>
      <c r="G77" s="8" t="s">
        <v>503</v>
      </c>
      <c r="H77" s="8" t="n">
        <v>14</v>
      </c>
      <c r="I77" s="8" t="s">
        <v>99</v>
      </c>
      <c r="J77" s="8" t="s">
        <v>61</v>
      </c>
      <c r="K77" s="8" t="s">
        <v>62</v>
      </c>
      <c r="L77" s="8" t="s">
        <v>504</v>
      </c>
    </row>
    <row r="78" customFormat="false" ht="15" hidden="false" customHeight="false" outlineLevel="0" collapsed="false">
      <c r="A78" s="8" t="s">
        <v>505</v>
      </c>
      <c r="B78" s="8" t="s">
        <v>506</v>
      </c>
      <c r="C78" s="2" t="s">
        <v>507</v>
      </c>
      <c r="D78" s="8" t="n">
        <v>2021</v>
      </c>
      <c r="E78" s="8" t="s">
        <v>508</v>
      </c>
      <c r="F78" s="8" t="s">
        <v>58</v>
      </c>
      <c r="G78" s="8" t="s">
        <v>509</v>
      </c>
      <c r="H78" s="8" t="n">
        <v>1</v>
      </c>
      <c r="I78" s="8" t="s">
        <v>68</v>
      </c>
      <c r="J78" s="8" t="s">
        <v>61</v>
      </c>
      <c r="K78" s="8" t="s">
        <v>62</v>
      </c>
      <c r="L78" s="8" t="s">
        <v>510</v>
      </c>
    </row>
    <row r="79" customFormat="false" ht="23.85" hidden="false" customHeight="false" outlineLevel="0" collapsed="false">
      <c r="A79" s="8" t="s">
        <v>511</v>
      </c>
      <c r="B79" s="8" t="s">
        <v>512</v>
      </c>
      <c r="C79" s="2" t="s">
        <v>513</v>
      </c>
      <c r="D79" s="8" t="n">
        <v>2021</v>
      </c>
      <c r="E79" s="8" t="s">
        <v>514</v>
      </c>
      <c r="F79" s="8" t="s">
        <v>58</v>
      </c>
      <c r="G79" s="8"/>
      <c r="H79" s="8" t="n">
        <v>15</v>
      </c>
      <c r="I79" s="8" t="s">
        <v>76</v>
      </c>
      <c r="J79" s="8" t="s">
        <v>61</v>
      </c>
      <c r="K79" s="8" t="s">
        <v>62</v>
      </c>
      <c r="L79" s="8" t="s">
        <v>515</v>
      </c>
    </row>
    <row r="80" customFormat="false" ht="23.85" hidden="false" customHeight="false" outlineLevel="0" collapsed="false">
      <c r="A80" s="8" t="s">
        <v>516</v>
      </c>
      <c r="B80" s="8" t="s">
        <v>517</v>
      </c>
      <c r="C80" s="2" t="s">
        <v>518</v>
      </c>
      <c r="D80" s="8" t="n">
        <v>2021</v>
      </c>
      <c r="E80" s="8" t="s">
        <v>519</v>
      </c>
      <c r="F80" s="8" t="s">
        <v>58</v>
      </c>
      <c r="G80" s="8" t="s">
        <v>520</v>
      </c>
      <c r="H80" s="8" t="n">
        <v>20</v>
      </c>
      <c r="I80" s="8" t="s">
        <v>293</v>
      </c>
      <c r="J80" s="8" t="s">
        <v>61</v>
      </c>
      <c r="K80" s="8" t="s">
        <v>154</v>
      </c>
      <c r="L80" s="8" t="s">
        <v>521</v>
      </c>
    </row>
    <row r="81" customFormat="false" ht="23.85" hidden="false" customHeight="false" outlineLevel="0" collapsed="false">
      <c r="A81" s="8" t="s">
        <v>522</v>
      </c>
      <c r="B81" s="8" t="s">
        <v>523</v>
      </c>
      <c r="C81" s="2" t="s">
        <v>524</v>
      </c>
      <c r="D81" s="8" t="n">
        <v>2021</v>
      </c>
      <c r="E81" s="8" t="s">
        <v>449</v>
      </c>
      <c r="F81" s="8" t="s">
        <v>83</v>
      </c>
      <c r="G81" s="8" t="s">
        <v>525</v>
      </c>
      <c r="H81" s="8" t="n">
        <v>52</v>
      </c>
      <c r="I81" s="8" t="s">
        <v>76</v>
      </c>
      <c r="J81" s="8" t="s">
        <v>61</v>
      </c>
      <c r="K81" s="8" t="s">
        <v>62</v>
      </c>
      <c r="L81" s="8" t="s">
        <v>526</v>
      </c>
    </row>
    <row r="82" customFormat="false" ht="23.85" hidden="false" customHeight="false" outlineLevel="0" collapsed="false">
      <c r="A82" s="8" t="s">
        <v>527</v>
      </c>
      <c r="B82" s="8" t="s">
        <v>528</v>
      </c>
      <c r="C82" s="2" t="s">
        <v>529</v>
      </c>
      <c r="D82" s="8" t="n">
        <v>2021</v>
      </c>
      <c r="E82" s="8" t="s">
        <v>530</v>
      </c>
      <c r="F82" s="8" t="s">
        <v>83</v>
      </c>
      <c r="G82" s="8" t="s">
        <v>531</v>
      </c>
      <c r="H82" s="8" t="n">
        <v>13</v>
      </c>
      <c r="I82" s="8" t="s">
        <v>76</v>
      </c>
      <c r="J82" s="8" t="s">
        <v>61</v>
      </c>
      <c r="K82" s="8" t="s">
        <v>62</v>
      </c>
      <c r="L82" s="8" t="s">
        <v>532</v>
      </c>
    </row>
    <row r="83" customFormat="false" ht="23.85" hidden="false" customHeight="false" outlineLevel="0" collapsed="false">
      <c r="A83" s="8" t="s">
        <v>533</v>
      </c>
      <c r="B83" s="8" t="s">
        <v>534</v>
      </c>
      <c r="C83" s="2" t="s">
        <v>535</v>
      </c>
      <c r="D83" s="8" t="n">
        <v>2021</v>
      </c>
      <c r="E83" s="8" t="s">
        <v>536</v>
      </c>
      <c r="F83" s="8" t="s">
        <v>58</v>
      </c>
      <c r="G83" s="8" t="s">
        <v>537</v>
      </c>
      <c r="H83" s="8" t="n">
        <v>16</v>
      </c>
      <c r="I83" s="8" t="s">
        <v>68</v>
      </c>
      <c r="J83" s="8" t="s">
        <v>61</v>
      </c>
      <c r="K83" s="8" t="s">
        <v>62</v>
      </c>
      <c r="L83" s="8" t="s">
        <v>538</v>
      </c>
    </row>
    <row r="84" customFormat="false" ht="23.85" hidden="false" customHeight="false" outlineLevel="0" collapsed="false">
      <c r="A84" s="8" t="s">
        <v>539</v>
      </c>
      <c r="B84" s="8" t="s">
        <v>540</v>
      </c>
      <c r="C84" s="2" t="s">
        <v>541</v>
      </c>
      <c r="D84" s="8" t="n">
        <v>2020</v>
      </c>
      <c r="E84" s="8" t="s">
        <v>542</v>
      </c>
      <c r="F84" s="8" t="s">
        <v>58</v>
      </c>
      <c r="G84" s="8" t="s">
        <v>543</v>
      </c>
      <c r="H84" s="8" t="n">
        <v>22</v>
      </c>
      <c r="I84" s="8" t="s">
        <v>92</v>
      </c>
      <c r="J84" s="8" t="s">
        <v>77</v>
      </c>
      <c r="K84" s="8" t="s">
        <v>62</v>
      </c>
      <c r="L84" s="8" t="s">
        <v>544</v>
      </c>
    </row>
    <row r="85" customFormat="false" ht="23.85" hidden="false" customHeight="false" outlineLevel="0" collapsed="false">
      <c r="A85" s="8" t="s">
        <v>545</v>
      </c>
      <c r="B85" s="8" t="s">
        <v>546</v>
      </c>
      <c r="C85" s="2" t="s">
        <v>547</v>
      </c>
      <c r="D85" s="8" t="n">
        <v>2020</v>
      </c>
      <c r="E85" s="8" t="s">
        <v>548</v>
      </c>
      <c r="F85" s="8" t="s">
        <v>83</v>
      </c>
      <c r="G85" s="8" t="s">
        <v>549</v>
      </c>
      <c r="H85" s="8" t="n">
        <v>14</v>
      </c>
      <c r="I85" s="8" t="s">
        <v>76</v>
      </c>
      <c r="J85" s="8" t="s">
        <v>61</v>
      </c>
      <c r="K85" s="8" t="s">
        <v>62</v>
      </c>
      <c r="L85" s="8" t="s">
        <v>550</v>
      </c>
    </row>
    <row r="86" customFormat="false" ht="23.85" hidden="false" customHeight="false" outlineLevel="0" collapsed="false">
      <c r="A86" s="8" t="s">
        <v>551</v>
      </c>
      <c r="B86" s="8" t="s">
        <v>517</v>
      </c>
      <c r="C86" s="2" t="s">
        <v>552</v>
      </c>
      <c r="D86" s="8" t="n">
        <v>2020</v>
      </c>
      <c r="E86" s="8" t="s">
        <v>553</v>
      </c>
      <c r="F86" s="8" t="s">
        <v>58</v>
      </c>
      <c r="G86" s="8" t="s">
        <v>554</v>
      </c>
      <c r="H86" s="8" t="n">
        <v>13</v>
      </c>
      <c r="I86" s="8" t="s">
        <v>130</v>
      </c>
      <c r="J86" s="8" t="s">
        <v>61</v>
      </c>
      <c r="K86" s="8" t="s">
        <v>154</v>
      </c>
      <c r="L86" s="8" t="s">
        <v>555</v>
      </c>
    </row>
    <row r="87" customFormat="false" ht="15" hidden="false" customHeight="false" outlineLevel="0" collapsed="false">
      <c r="A87" s="8" t="s">
        <v>556</v>
      </c>
      <c r="B87" s="8" t="s">
        <v>557</v>
      </c>
      <c r="C87" s="2" t="s">
        <v>558</v>
      </c>
      <c r="D87" s="8" t="n">
        <v>2020</v>
      </c>
      <c r="E87" s="8" t="s">
        <v>559</v>
      </c>
      <c r="F87" s="8" t="s">
        <v>58</v>
      </c>
      <c r="G87" s="8" t="s">
        <v>560</v>
      </c>
      <c r="H87" s="8" t="n">
        <v>3</v>
      </c>
      <c r="I87" s="8" t="s">
        <v>130</v>
      </c>
      <c r="J87" s="8" t="s">
        <v>61</v>
      </c>
      <c r="K87" s="8" t="s">
        <v>62</v>
      </c>
      <c r="L87" s="8" t="s">
        <v>561</v>
      </c>
    </row>
    <row r="88" customFormat="false" ht="23.85" hidden="false" customHeight="false" outlineLevel="0" collapsed="false">
      <c r="A88" s="8" t="s">
        <v>562</v>
      </c>
      <c r="B88" s="8" t="s">
        <v>563</v>
      </c>
      <c r="C88" s="2" t="s">
        <v>564</v>
      </c>
      <c r="D88" s="8" t="n">
        <v>2019</v>
      </c>
      <c r="E88" s="8" t="s">
        <v>449</v>
      </c>
      <c r="F88" s="8" t="s">
        <v>83</v>
      </c>
      <c r="G88" s="8" t="s">
        <v>565</v>
      </c>
      <c r="H88" s="8" t="n">
        <v>19</v>
      </c>
      <c r="I88" s="8" t="s">
        <v>130</v>
      </c>
      <c r="J88" s="8" t="s">
        <v>77</v>
      </c>
      <c r="K88" s="8" t="s">
        <v>62</v>
      </c>
      <c r="L88" s="8" t="s">
        <v>566</v>
      </c>
    </row>
    <row r="89" customFormat="false" ht="23.85" hidden="false" customHeight="false" outlineLevel="0" collapsed="false">
      <c r="A89" s="8" t="s">
        <v>567</v>
      </c>
      <c r="B89" s="8" t="s">
        <v>568</v>
      </c>
      <c r="C89" s="2" t="s">
        <v>569</v>
      </c>
      <c r="D89" s="8" t="n">
        <v>2019</v>
      </c>
      <c r="E89" s="8" t="s">
        <v>57</v>
      </c>
      <c r="F89" s="8" t="s">
        <v>58</v>
      </c>
      <c r="G89" s="8" t="s">
        <v>570</v>
      </c>
      <c r="H89" s="8" t="n">
        <v>14</v>
      </c>
      <c r="I89" s="8" t="s">
        <v>130</v>
      </c>
      <c r="J89" s="8" t="s">
        <v>61</v>
      </c>
      <c r="K89" s="8" t="s">
        <v>62</v>
      </c>
      <c r="L89" s="8" t="s">
        <v>571</v>
      </c>
    </row>
    <row r="90" customFormat="false" ht="23.85" hidden="false" customHeight="false" outlineLevel="0" collapsed="false">
      <c r="A90" s="8" t="s">
        <v>572</v>
      </c>
      <c r="B90" s="8" t="s">
        <v>573</v>
      </c>
      <c r="C90" s="2" t="s">
        <v>574</v>
      </c>
      <c r="D90" s="8" t="n">
        <v>2019</v>
      </c>
      <c r="E90" s="8" t="s">
        <v>89</v>
      </c>
      <c r="F90" s="8" t="s">
        <v>90</v>
      </c>
      <c r="G90" s="8" t="s">
        <v>575</v>
      </c>
      <c r="H90" s="8" t="n">
        <v>32</v>
      </c>
      <c r="I90" s="8" t="s">
        <v>76</v>
      </c>
      <c r="J90" s="8" t="s">
        <v>61</v>
      </c>
      <c r="K90" s="8" t="s">
        <v>62</v>
      </c>
      <c r="L90" s="8" t="s">
        <v>576</v>
      </c>
    </row>
    <row r="91" customFormat="false" ht="23.85" hidden="false" customHeight="false" outlineLevel="0" collapsed="false">
      <c r="A91" s="8" t="s">
        <v>577</v>
      </c>
      <c r="B91" s="8" t="s">
        <v>578</v>
      </c>
      <c r="C91" s="2" t="s">
        <v>579</v>
      </c>
      <c r="D91" s="8" t="n">
        <v>2019</v>
      </c>
      <c r="E91" s="8" t="s">
        <v>177</v>
      </c>
      <c r="F91" s="8" t="s">
        <v>90</v>
      </c>
      <c r="G91" s="8" t="s">
        <v>580</v>
      </c>
      <c r="H91" s="8" t="n">
        <v>10</v>
      </c>
      <c r="I91" s="8" t="s">
        <v>99</v>
      </c>
      <c r="J91" s="8" t="s">
        <v>61</v>
      </c>
      <c r="K91" s="8" t="s">
        <v>62</v>
      </c>
      <c r="L91" s="8" t="s">
        <v>581</v>
      </c>
    </row>
    <row r="92" customFormat="false" ht="15" hidden="false" customHeight="false" outlineLevel="0" collapsed="false">
      <c r="A92" s="8" t="s">
        <v>582</v>
      </c>
      <c r="B92" s="8" t="s">
        <v>583</v>
      </c>
      <c r="C92" s="2" t="s">
        <v>584</v>
      </c>
      <c r="D92" s="8" t="n">
        <v>2019</v>
      </c>
      <c r="E92" s="8" t="s">
        <v>585</v>
      </c>
      <c r="F92" s="8" t="s">
        <v>58</v>
      </c>
      <c r="G92" s="8" t="s">
        <v>586</v>
      </c>
      <c r="H92" s="8" t="n">
        <v>9</v>
      </c>
      <c r="I92" s="8" t="s">
        <v>235</v>
      </c>
      <c r="J92" s="8" t="s">
        <v>61</v>
      </c>
      <c r="K92" s="8" t="s">
        <v>62</v>
      </c>
      <c r="L92" s="8" t="s">
        <v>587</v>
      </c>
    </row>
    <row r="93" customFormat="false" ht="23.85" hidden="false" customHeight="false" outlineLevel="0" collapsed="false">
      <c r="A93" s="8" t="s">
        <v>588</v>
      </c>
      <c r="B93" s="8" t="s">
        <v>494</v>
      </c>
      <c r="C93" s="2" t="s">
        <v>589</v>
      </c>
      <c r="D93" s="8" t="n">
        <v>2019</v>
      </c>
      <c r="E93" s="8" t="s">
        <v>57</v>
      </c>
      <c r="F93" s="8" t="s">
        <v>58</v>
      </c>
      <c r="G93" s="8" t="s">
        <v>590</v>
      </c>
      <c r="H93" s="8" t="n">
        <v>1</v>
      </c>
      <c r="I93" s="8" t="s">
        <v>130</v>
      </c>
      <c r="J93" s="8" t="s">
        <v>61</v>
      </c>
      <c r="K93" s="8" t="s">
        <v>154</v>
      </c>
      <c r="L93" s="8" t="s">
        <v>591</v>
      </c>
    </row>
    <row r="94" customFormat="false" ht="23.85" hidden="false" customHeight="false" outlineLevel="0" collapsed="false">
      <c r="A94" s="8" t="s">
        <v>592</v>
      </c>
      <c r="B94" s="8" t="s">
        <v>593</v>
      </c>
      <c r="C94" s="2" t="s">
        <v>594</v>
      </c>
      <c r="D94" s="8" t="n">
        <v>2019</v>
      </c>
      <c r="E94" s="8" t="s">
        <v>595</v>
      </c>
      <c r="F94" s="8" t="s">
        <v>83</v>
      </c>
      <c r="G94" s="8" t="s">
        <v>596</v>
      </c>
      <c r="H94" s="8" t="n">
        <v>10</v>
      </c>
      <c r="I94" s="8" t="s">
        <v>60</v>
      </c>
      <c r="J94" s="8" t="s">
        <v>61</v>
      </c>
      <c r="K94" s="8" t="s">
        <v>62</v>
      </c>
      <c r="L94" s="8" t="s">
        <v>597</v>
      </c>
    </row>
    <row r="95" customFormat="false" ht="23.85" hidden="false" customHeight="false" outlineLevel="0" collapsed="false">
      <c r="A95" s="8" t="s">
        <v>598</v>
      </c>
      <c r="B95" s="8" t="s">
        <v>436</v>
      </c>
      <c r="C95" s="2" t="s">
        <v>599</v>
      </c>
      <c r="D95" s="8" t="n">
        <v>2019</v>
      </c>
      <c r="E95" s="8" t="s">
        <v>57</v>
      </c>
      <c r="F95" s="8" t="s">
        <v>58</v>
      </c>
      <c r="G95" s="8" t="s">
        <v>600</v>
      </c>
      <c r="H95" s="8" t="n">
        <v>3</v>
      </c>
      <c r="I95" s="8" t="s">
        <v>68</v>
      </c>
      <c r="J95" s="8" t="s">
        <v>61</v>
      </c>
      <c r="K95" s="8" t="s">
        <v>62</v>
      </c>
      <c r="L95" s="8" t="s">
        <v>601</v>
      </c>
    </row>
    <row r="96" customFormat="false" ht="23.85" hidden="false" customHeight="false" outlineLevel="0" collapsed="false">
      <c r="A96" s="8" t="s">
        <v>602</v>
      </c>
      <c r="B96" s="8" t="s">
        <v>546</v>
      </c>
      <c r="C96" s="2" t="s">
        <v>603</v>
      </c>
      <c r="D96" s="8" t="n">
        <v>2019</v>
      </c>
      <c r="E96" s="8" t="s">
        <v>604</v>
      </c>
      <c r="F96" s="8" t="s">
        <v>58</v>
      </c>
      <c r="G96" s="8"/>
      <c r="H96" s="8" t="n">
        <v>0</v>
      </c>
      <c r="I96" s="8" t="s">
        <v>76</v>
      </c>
      <c r="J96" s="8" t="s">
        <v>61</v>
      </c>
      <c r="K96" s="8" t="s">
        <v>62</v>
      </c>
      <c r="L96" s="8" t="s">
        <v>605</v>
      </c>
    </row>
    <row r="97" customFormat="false" ht="23.85" hidden="false" customHeight="false" outlineLevel="0" collapsed="false">
      <c r="A97" s="8" t="s">
        <v>606</v>
      </c>
      <c r="B97" s="8" t="s">
        <v>607</v>
      </c>
      <c r="C97" s="2" t="s">
        <v>608</v>
      </c>
      <c r="D97" s="8" t="n">
        <v>2019</v>
      </c>
      <c r="E97" s="8" t="s">
        <v>57</v>
      </c>
      <c r="F97" s="8" t="s">
        <v>58</v>
      </c>
      <c r="G97" s="8" t="s">
        <v>609</v>
      </c>
      <c r="H97" s="8" t="n">
        <v>7</v>
      </c>
      <c r="I97" s="8" t="s">
        <v>610</v>
      </c>
      <c r="J97" s="8" t="s">
        <v>61</v>
      </c>
      <c r="K97" s="8" t="s">
        <v>62</v>
      </c>
      <c r="L97" s="8" t="s">
        <v>611</v>
      </c>
    </row>
    <row r="98" customFormat="false" ht="15" hidden="false" customHeight="false" outlineLevel="0" collapsed="false">
      <c r="A98" s="8" t="s">
        <v>612</v>
      </c>
      <c r="B98" s="8" t="s">
        <v>583</v>
      </c>
      <c r="C98" s="2" t="s">
        <v>613</v>
      </c>
      <c r="D98" s="8" t="n">
        <v>2019</v>
      </c>
      <c r="E98" s="8" t="s">
        <v>614</v>
      </c>
      <c r="F98" s="8" t="s">
        <v>58</v>
      </c>
      <c r="G98" s="8"/>
      <c r="H98" s="8" t="n">
        <v>29</v>
      </c>
      <c r="I98" s="8" t="s">
        <v>235</v>
      </c>
      <c r="J98" s="8" t="s">
        <v>61</v>
      </c>
      <c r="K98" s="8" t="s">
        <v>62</v>
      </c>
      <c r="L98" s="8" t="s">
        <v>615</v>
      </c>
    </row>
    <row r="99" customFormat="false" ht="23.85" hidden="false" customHeight="false" outlineLevel="0" collapsed="false">
      <c r="A99" s="8" t="s">
        <v>616</v>
      </c>
      <c r="B99" s="8" t="s">
        <v>617</v>
      </c>
      <c r="C99" s="2" t="s">
        <v>618</v>
      </c>
      <c r="D99" s="8" t="n">
        <v>2018</v>
      </c>
      <c r="E99" s="8" t="s">
        <v>619</v>
      </c>
      <c r="F99" s="8" t="s">
        <v>58</v>
      </c>
      <c r="G99" s="8" t="s">
        <v>620</v>
      </c>
      <c r="H99" s="8" t="n">
        <v>3</v>
      </c>
      <c r="I99" s="8" t="s">
        <v>68</v>
      </c>
      <c r="J99" s="8" t="s">
        <v>61</v>
      </c>
      <c r="K99" s="8" t="s">
        <v>62</v>
      </c>
      <c r="L99" s="8" t="s">
        <v>621</v>
      </c>
    </row>
    <row r="100" customFormat="false" ht="23.85" hidden="false" customHeight="false" outlineLevel="0" collapsed="false">
      <c r="A100" s="8" t="s">
        <v>622</v>
      </c>
      <c r="B100" s="8" t="s">
        <v>623</v>
      </c>
      <c r="C100" s="2" t="s">
        <v>624</v>
      </c>
      <c r="D100" s="8" t="n">
        <v>2018</v>
      </c>
      <c r="E100" s="8" t="s">
        <v>625</v>
      </c>
      <c r="F100" s="8" t="s">
        <v>58</v>
      </c>
      <c r="G100" s="8" t="s">
        <v>626</v>
      </c>
      <c r="H100" s="8" t="n">
        <v>0</v>
      </c>
      <c r="I100" s="8" t="s">
        <v>76</v>
      </c>
      <c r="J100" s="8" t="s">
        <v>61</v>
      </c>
      <c r="K100" s="8" t="s">
        <v>154</v>
      </c>
      <c r="L100" s="8" t="s">
        <v>627</v>
      </c>
    </row>
    <row r="101" customFormat="false" ht="15" hidden="false" customHeight="false" outlineLevel="0" collapsed="false">
      <c r="A101" s="8" t="s">
        <v>628</v>
      </c>
      <c r="B101" s="8" t="s">
        <v>629</v>
      </c>
      <c r="C101" s="2" t="s">
        <v>630</v>
      </c>
      <c r="D101" s="8" t="n">
        <v>2018</v>
      </c>
      <c r="E101" s="8" t="s">
        <v>631</v>
      </c>
      <c r="F101" s="8" t="s">
        <v>83</v>
      </c>
      <c r="G101" s="8" t="s">
        <v>632</v>
      </c>
      <c r="H101" s="8" t="n">
        <v>32</v>
      </c>
      <c r="I101" s="8" t="s">
        <v>68</v>
      </c>
      <c r="J101" s="8" t="s">
        <v>61</v>
      </c>
      <c r="K101" s="8" t="s">
        <v>62</v>
      </c>
      <c r="L101" s="8" t="s">
        <v>633</v>
      </c>
    </row>
    <row r="102" customFormat="false" ht="23.85" hidden="false" customHeight="false" outlineLevel="0" collapsed="false">
      <c r="A102" s="8" t="s">
        <v>634</v>
      </c>
      <c r="B102" s="8"/>
      <c r="C102" s="2" t="s">
        <v>635</v>
      </c>
      <c r="D102" s="8" t="n">
        <v>2018</v>
      </c>
      <c r="E102" s="8" t="s">
        <v>619</v>
      </c>
      <c r="F102" s="8" t="s">
        <v>58</v>
      </c>
      <c r="G102" s="8" t="s">
        <v>636</v>
      </c>
      <c r="H102" s="8" t="n">
        <v>3</v>
      </c>
      <c r="I102" s="8" t="s">
        <v>76</v>
      </c>
      <c r="J102" s="8" t="s">
        <v>61</v>
      </c>
      <c r="K102" s="8" t="s">
        <v>62</v>
      </c>
      <c r="L102" s="8" t="s">
        <v>637</v>
      </c>
    </row>
    <row r="103" customFormat="false" ht="23.85" hidden="false" customHeight="false" outlineLevel="0" collapsed="false">
      <c r="A103" s="8" t="s">
        <v>638</v>
      </c>
      <c r="B103" s="8" t="s">
        <v>639</v>
      </c>
      <c r="C103" s="2" t="s">
        <v>640</v>
      </c>
      <c r="D103" s="8" t="n">
        <v>2018</v>
      </c>
      <c r="E103" s="8" t="s">
        <v>619</v>
      </c>
      <c r="F103" s="8" t="s">
        <v>58</v>
      </c>
      <c r="G103" s="8" t="s">
        <v>641</v>
      </c>
      <c r="H103" s="8" t="n">
        <v>11</v>
      </c>
      <c r="I103" s="8" t="s">
        <v>497</v>
      </c>
      <c r="J103" s="8" t="s">
        <v>61</v>
      </c>
      <c r="K103" s="8" t="s">
        <v>62</v>
      </c>
      <c r="L103" s="8" t="s">
        <v>642</v>
      </c>
    </row>
    <row r="104" customFormat="false" ht="15" hidden="false" customHeight="false" outlineLevel="0" collapsed="false">
      <c r="A104" s="8" t="s">
        <v>643</v>
      </c>
      <c r="B104" s="8" t="s">
        <v>644</v>
      </c>
      <c r="C104" s="2" t="s">
        <v>645</v>
      </c>
      <c r="D104" s="8" t="n">
        <v>2018</v>
      </c>
      <c r="E104" s="8" t="s">
        <v>646</v>
      </c>
      <c r="F104" s="8" t="s">
        <v>58</v>
      </c>
      <c r="G104" s="8" t="s">
        <v>647</v>
      </c>
      <c r="H104" s="8" t="n">
        <v>1</v>
      </c>
      <c r="I104" s="8" t="s">
        <v>76</v>
      </c>
      <c r="J104" s="8" t="s">
        <v>61</v>
      </c>
      <c r="K104" s="8" t="s">
        <v>62</v>
      </c>
      <c r="L104" s="8" t="s">
        <v>648</v>
      </c>
    </row>
    <row r="105" customFormat="false" ht="23.85" hidden="false" customHeight="false" outlineLevel="0" collapsed="false">
      <c r="A105" s="8" t="s">
        <v>649</v>
      </c>
      <c r="B105" s="8" t="s">
        <v>650</v>
      </c>
      <c r="C105" s="2" t="s">
        <v>651</v>
      </c>
      <c r="D105" s="8" t="n">
        <v>2018</v>
      </c>
      <c r="E105" s="8" t="s">
        <v>652</v>
      </c>
      <c r="F105" s="8" t="s">
        <v>83</v>
      </c>
      <c r="G105" s="8" t="s">
        <v>653</v>
      </c>
      <c r="H105" s="8" t="n">
        <v>3</v>
      </c>
      <c r="I105" s="8" t="s">
        <v>76</v>
      </c>
      <c r="J105" s="8" t="s">
        <v>61</v>
      </c>
      <c r="K105" s="8" t="s">
        <v>62</v>
      </c>
      <c r="L105" s="8" t="s">
        <v>654</v>
      </c>
    </row>
    <row r="106" customFormat="false" ht="23.85" hidden="false" customHeight="false" outlineLevel="0" collapsed="false">
      <c r="A106" s="8" t="s">
        <v>655</v>
      </c>
      <c r="B106" s="8" t="s">
        <v>656</v>
      </c>
      <c r="C106" s="2" t="s">
        <v>657</v>
      </c>
      <c r="D106" s="8" t="n">
        <v>2018</v>
      </c>
      <c r="E106" s="8" t="s">
        <v>658</v>
      </c>
      <c r="F106" s="8" t="s">
        <v>90</v>
      </c>
      <c r="G106" s="8" t="s">
        <v>659</v>
      </c>
      <c r="H106" s="8" t="n">
        <v>10</v>
      </c>
      <c r="I106" s="8" t="s">
        <v>99</v>
      </c>
      <c r="J106" s="8" t="s">
        <v>77</v>
      </c>
      <c r="K106" s="8" t="s">
        <v>62</v>
      </c>
      <c r="L106" s="8" t="s">
        <v>660</v>
      </c>
    </row>
    <row r="107" customFormat="false" ht="23.85" hidden="false" customHeight="false" outlineLevel="0" collapsed="false">
      <c r="A107" s="8" t="s">
        <v>661</v>
      </c>
      <c r="B107" s="8" t="s">
        <v>662</v>
      </c>
      <c r="C107" s="2" t="s">
        <v>663</v>
      </c>
      <c r="D107" s="8" t="n">
        <v>2018</v>
      </c>
      <c r="E107" s="8" t="s">
        <v>217</v>
      </c>
      <c r="F107" s="8" t="s">
        <v>58</v>
      </c>
      <c r="G107" s="8" t="s">
        <v>664</v>
      </c>
      <c r="H107" s="8" t="n">
        <v>11</v>
      </c>
      <c r="I107" s="8" t="s">
        <v>76</v>
      </c>
      <c r="J107" s="8" t="s">
        <v>61</v>
      </c>
      <c r="K107" s="8" t="s">
        <v>62</v>
      </c>
      <c r="L107" s="8" t="s">
        <v>665</v>
      </c>
    </row>
    <row r="108" customFormat="false" ht="23.85" hidden="false" customHeight="false" outlineLevel="0" collapsed="false">
      <c r="A108" s="8" t="s">
        <v>666</v>
      </c>
      <c r="B108" s="8" t="s">
        <v>667</v>
      </c>
      <c r="C108" s="2" t="s">
        <v>668</v>
      </c>
      <c r="D108" s="8" t="n">
        <v>2017</v>
      </c>
      <c r="E108" s="8" t="s">
        <v>669</v>
      </c>
      <c r="F108" s="8" t="s">
        <v>83</v>
      </c>
      <c r="G108" s="8" t="s">
        <v>670</v>
      </c>
      <c r="H108" s="8" t="n">
        <v>80</v>
      </c>
      <c r="I108" s="8" t="s">
        <v>99</v>
      </c>
      <c r="J108" s="8" t="s">
        <v>61</v>
      </c>
      <c r="K108" s="8" t="s">
        <v>62</v>
      </c>
      <c r="L108" s="8" t="s">
        <v>671</v>
      </c>
    </row>
    <row r="109" customFormat="false" ht="15" hidden="false" customHeight="false" outlineLevel="0" collapsed="false">
      <c r="A109" s="8" t="s">
        <v>672</v>
      </c>
      <c r="B109" s="8" t="s">
        <v>673</v>
      </c>
      <c r="C109" s="2" t="s">
        <v>674</v>
      </c>
      <c r="D109" s="8" t="n">
        <v>2017</v>
      </c>
      <c r="E109" s="8" t="s">
        <v>449</v>
      </c>
      <c r="F109" s="8" t="s">
        <v>83</v>
      </c>
      <c r="G109" s="8" t="s">
        <v>675</v>
      </c>
      <c r="H109" s="8" t="n">
        <v>18</v>
      </c>
      <c r="I109" s="8" t="s">
        <v>76</v>
      </c>
      <c r="J109" s="8" t="s">
        <v>61</v>
      </c>
      <c r="K109" s="8" t="s">
        <v>62</v>
      </c>
      <c r="L109" s="8" t="s">
        <v>676</v>
      </c>
    </row>
    <row r="110" customFormat="false" ht="15" hidden="false" customHeight="false" outlineLevel="0" collapsed="false">
      <c r="A110" s="8" t="s">
        <v>677</v>
      </c>
      <c r="B110" s="8" t="s">
        <v>678</v>
      </c>
      <c r="C110" s="2" t="s">
        <v>679</v>
      </c>
      <c r="D110" s="8" t="n">
        <v>2017</v>
      </c>
      <c r="E110" s="8" t="s">
        <v>217</v>
      </c>
      <c r="F110" s="8" t="s">
        <v>58</v>
      </c>
      <c r="G110" s="8" t="s">
        <v>680</v>
      </c>
      <c r="H110" s="8" t="n">
        <v>19</v>
      </c>
      <c r="I110" s="8" t="s">
        <v>130</v>
      </c>
      <c r="J110" s="8" t="s">
        <v>61</v>
      </c>
      <c r="K110" s="8" t="s">
        <v>62</v>
      </c>
      <c r="L110" s="8" t="s">
        <v>681</v>
      </c>
    </row>
    <row r="111" customFormat="false" ht="23.85" hidden="false" customHeight="false" outlineLevel="0" collapsed="false">
      <c r="A111" s="8" t="s">
        <v>682</v>
      </c>
      <c r="B111" s="8" t="s">
        <v>683</v>
      </c>
      <c r="C111" s="2" t="s">
        <v>684</v>
      </c>
      <c r="D111" s="8" t="n">
        <v>2017</v>
      </c>
      <c r="E111" s="8" t="s">
        <v>685</v>
      </c>
      <c r="F111" s="8" t="s">
        <v>83</v>
      </c>
      <c r="G111" s="8" t="s">
        <v>686</v>
      </c>
      <c r="H111" s="8" t="n">
        <v>56</v>
      </c>
      <c r="I111" s="8" t="s">
        <v>687</v>
      </c>
      <c r="J111" s="8" t="s">
        <v>61</v>
      </c>
      <c r="K111" s="8" t="s">
        <v>62</v>
      </c>
      <c r="L111" s="8" t="s">
        <v>688</v>
      </c>
    </row>
    <row r="112" customFormat="false" ht="15" hidden="false" customHeight="false" outlineLevel="0" collapsed="false">
      <c r="A112" s="8" t="s">
        <v>689</v>
      </c>
      <c r="B112" s="8" t="s">
        <v>690</v>
      </c>
      <c r="C112" s="2" t="s">
        <v>691</v>
      </c>
      <c r="D112" s="8" t="n">
        <v>2017</v>
      </c>
      <c r="E112" s="8" t="s">
        <v>685</v>
      </c>
      <c r="F112" s="8" t="s">
        <v>83</v>
      </c>
      <c r="G112" s="8" t="s">
        <v>692</v>
      </c>
      <c r="H112" s="8" t="n">
        <v>96</v>
      </c>
      <c r="I112" s="8" t="s">
        <v>76</v>
      </c>
      <c r="J112" s="8" t="s">
        <v>61</v>
      </c>
      <c r="K112" s="8" t="s">
        <v>62</v>
      </c>
      <c r="L112" s="8" t="s">
        <v>693</v>
      </c>
    </row>
    <row r="113" customFormat="false" ht="23.85" hidden="false" customHeight="false" outlineLevel="0" collapsed="false">
      <c r="A113" s="8" t="s">
        <v>694</v>
      </c>
      <c r="B113" s="8" t="s">
        <v>695</v>
      </c>
      <c r="C113" s="2" t="s">
        <v>696</v>
      </c>
      <c r="D113" s="8" t="n">
        <v>2017</v>
      </c>
      <c r="E113" s="8" t="s">
        <v>697</v>
      </c>
      <c r="F113" s="8" t="s">
        <v>58</v>
      </c>
      <c r="G113" s="8" t="s">
        <v>698</v>
      </c>
      <c r="H113" s="8" t="n">
        <v>11</v>
      </c>
      <c r="I113" s="8" t="s">
        <v>343</v>
      </c>
      <c r="J113" s="8" t="s">
        <v>61</v>
      </c>
      <c r="K113" s="8" t="s">
        <v>62</v>
      </c>
      <c r="L113" s="8" t="s">
        <v>699</v>
      </c>
    </row>
    <row r="114" customFormat="false" ht="15" hidden="false" customHeight="false" outlineLevel="0" collapsed="false">
      <c r="A114" s="8" t="s">
        <v>700</v>
      </c>
      <c r="B114" s="8" t="s">
        <v>701</v>
      </c>
      <c r="C114" s="2" t="s">
        <v>702</v>
      </c>
      <c r="D114" s="8" t="n">
        <v>2016</v>
      </c>
      <c r="E114" s="8" t="s">
        <v>703</v>
      </c>
      <c r="F114" s="8" t="s">
        <v>83</v>
      </c>
      <c r="G114" s="8" t="s">
        <v>704</v>
      </c>
      <c r="H114" s="8" t="n">
        <v>6</v>
      </c>
      <c r="I114" s="8" t="s">
        <v>76</v>
      </c>
      <c r="J114" s="8" t="s">
        <v>61</v>
      </c>
      <c r="K114" s="8" t="s">
        <v>62</v>
      </c>
      <c r="L114" s="8" t="s">
        <v>705</v>
      </c>
    </row>
    <row r="115" customFormat="false" ht="15" hidden="false" customHeight="false" outlineLevel="0" collapsed="false">
      <c r="A115" s="8" t="s">
        <v>706</v>
      </c>
      <c r="B115" s="8" t="s">
        <v>707</v>
      </c>
      <c r="C115" s="2" t="s">
        <v>708</v>
      </c>
      <c r="D115" s="8" t="n">
        <v>2015</v>
      </c>
      <c r="E115" s="8" t="s">
        <v>709</v>
      </c>
      <c r="F115" s="8" t="s">
        <v>58</v>
      </c>
      <c r="G115" s="8" t="s">
        <v>710</v>
      </c>
      <c r="H115" s="8" t="n">
        <v>10</v>
      </c>
      <c r="I115" s="8" t="s">
        <v>687</v>
      </c>
      <c r="J115" s="8" t="s">
        <v>61</v>
      </c>
      <c r="K115" s="8" t="s">
        <v>62</v>
      </c>
      <c r="L115" s="8" t="s">
        <v>711</v>
      </c>
    </row>
    <row r="116" customFormat="false" ht="15" hidden="false" customHeight="false" outlineLevel="0" collapsed="false">
      <c r="A116" s="8" t="s">
        <v>712</v>
      </c>
      <c r="B116" s="8" t="s">
        <v>713</v>
      </c>
      <c r="C116" s="2" t="s">
        <v>714</v>
      </c>
      <c r="D116" s="8" t="n">
        <v>2015</v>
      </c>
      <c r="E116" s="8" t="s">
        <v>715</v>
      </c>
      <c r="F116" s="8" t="s">
        <v>58</v>
      </c>
      <c r="G116" s="8" t="s">
        <v>716</v>
      </c>
      <c r="H116" s="8" t="n">
        <v>48</v>
      </c>
      <c r="I116" s="8" t="s">
        <v>99</v>
      </c>
      <c r="J116" s="8" t="s">
        <v>61</v>
      </c>
      <c r="K116" s="8" t="s">
        <v>62</v>
      </c>
      <c r="L116" s="8" t="s">
        <v>717</v>
      </c>
    </row>
    <row r="117" customFormat="false" ht="23.85" hidden="false" customHeight="false" outlineLevel="0" collapsed="false">
      <c r="A117" s="8" t="s">
        <v>718</v>
      </c>
      <c r="B117" s="8" t="s">
        <v>719</v>
      </c>
      <c r="C117" s="2" t="s">
        <v>720</v>
      </c>
      <c r="D117" s="8" t="n">
        <v>2014</v>
      </c>
      <c r="E117" s="8" t="s">
        <v>721</v>
      </c>
      <c r="F117" s="8" t="s">
        <v>74</v>
      </c>
      <c r="G117" s="8" t="s">
        <v>722</v>
      </c>
      <c r="H117" s="8" t="n">
        <v>44</v>
      </c>
      <c r="I117" s="8" t="s">
        <v>76</v>
      </c>
      <c r="J117" s="8" t="s">
        <v>77</v>
      </c>
      <c r="K117" s="8" t="s">
        <v>62</v>
      </c>
      <c r="L117" s="8" t="s">
        <v>723</v>
      </c>
    </row>
    <row r="118" customFormat="false" ht="15" hidden="false" customHeight="false" outlineLevel="0" collapsed="false">
      <c r="A118" s="8" t="s">
        <v>724</v>
      </c>
      <c r="B118" s="8" t="s">
        <v>725</v>
      </c>
      <c r="C118" s="2" t="s">
        <v>726</v>
      </c>
      <c r="D118" s="8" t="n">
        <v>2014</v>
      </c>
      <c r="E118" s="8" t="s">
        <v>727</v>
      </c>
      <c r="F118" s="8" t="s">
        <v>58</v>
      </c>
      <c r="G118" s="8" t="s">
        <v>728</v>
      </c>
      <c r="H118" s="8" t="n">
        <v>3</v>
      </c>
      <c r="I118" s="8" t="s">
        <v>92</v>
      </c>
      <c r="J118" s="8" t="s">
        <v>61</v>
      </c>
      <c r="K118" s="8" t="s">
        <v>62</v>
      </c>
      <c r="L118" s="8" t="s">
        <v>729</v>
      </c>
    </row>
    <row r="119" customFormat="false" ht="15" hidden="false" customHeight="false" outlineLevel="0" collapsed="false">
      <c r="A119" s="8" t="s">
        <v>730</v>
      </c>
      <c r="B119" s="8" t="s">
        <v>731</v>
      </c>
      <c r="C119" s="2" t="s">
        <v>732</v>
      </c>
      <c r="D119" s="8" t="n">
        <v>2014</v>
      </c>
      <c r="E119" s="8" t="s">
        <v>733</v>
      </c>
      <c r="F119" s="8" t="s">
        <v>58</v>
      </c>
      <c r="G119" s="8" t="s">
        <v>734</v>
      </c>
      <c r="H119" s="8" t="n">
        <v>7</v>
      </c>
      <c r="I119" s="8" t="s">
        <v>130</v>
      </c>
      <c r="J119" s="8" t="s">
        <v>61</v>
      </c>
      <c r="K119" s="8" t="s">
        <v>154</v>
      </c>
      <c r="L119" s="8" t="s">
        <v>735</v>
      </c>
    </row>
    <row r="120" customFormat="false" ht="23.85" hidden="false" customHeight="false" outlineLevel="0" collapsed="false">
      <c r="A120" s="8" t="s">
        <v>736</v>
      </c>
      <c r="B120" s="8" t="s">
        <v>737</v>
      </c>
      <c r="C120" s="2" t="s">
        <v>738</v>
      </c>
      <c r="D120" s="8" t="n">
        <v>2013</v>
      </c>
      <c r="E120" s="8" t="s">
        <v>739</v>
      </c>
      <c r="F120" s="8" t="s">
        <v>58</v>
      </c>
      <c r="G120" s="8"/>
      <c r="H120" s="8" t="n">
        <v>1</v>
      </c>
      <c r="I120" s="8" t="s">
        <v>76</v>
      </c>
      <c r="J120" s="8" t="s">
        <v>61</v>
      </c>
      <c r="K120" s="8" t="s">
        <v>62</v>
      </c>
      <c r="L120" s="8" t="s">
        <v>740</v>
      </c>
    </row>
    <row r="121" customFormat="false" ht="15" hidden="false" customHeight="false" outlineLevel="0" collapsed="false">
      <c r="A121" s="8" t="s">
        <v>741</v>
      </c>
      <c r="B121" s="8" t="s">
        <v>742</v>
      </c>
      <c r="C121" s="2" t="s">
        <v>743</v>
      </c>
      <c r="D121" s="8" t="n">
        <v>2012</v>
      </c>
      <c r="E121" s="8" t="s">
        <v>744</v>
      </c>
      <c r="F121" s="8" t="s">
        <v>58</v>
      </c>
      <c r="G121" s="8" t="s">
        <v>745</v>
      </c>
      <c r="H121" s="8" t="n">
        <v>6</v>
      </c>
      <c r="I121" s="8" t="s">
        <v>76</v>
      </c>
      <c r="J121" s="8" t="s">
        <v>61</v>
      </c>
      <c r="K121" s="8" t="s">
        <v>62</v>
      </c>
      <c r="L121" s="8" t="s">
        <v>746</v>
      </c>
    </row>
    <row r="122" customFormat="false" ht="15" hidden="false" customHeight="false" outlineLevel="0" collapsed="false">
      <c r="A122" s="8" t="s">
        <v>747</v>
      </c>
      <c r="B122" s="8" t="s">
        <v>748</v>
      </c>
      <c r="C122" s="2" t="s">
        <v>749</v>
      </c>
      <c r="D122" s="8" t="n">
        <v>2012</v>
      </c>
      <c r="E122" s="8" t="s">
        <v>750</v>
      </c>
      <c r="F122" s="8" t="s">
        <v>58</v>
      </c>
      <c r="G122" s="8"/>
      <c r="H122" s="8" t="n">
        <v>1</v>
      </c>
      <c r="I122" s="8" t="s">
        <v>92</v>
      </c>
      <c r="J122" s="8" t="s">
        <v>61</v>
      </c>
      <c r="K122" s="8" t="s">
        <v>62</v>
      </c>
      <c r="L122" s="8" t="s">
        <v>751</v>
      </c>
    </row>
    <row r="123" customFormat="false" ht="23.85" hidden="false" customHeight="false" outlineLevel="0" collapsed="false">
      <c r="A123" s="8" t="s">
        <v>752</v>
      </c>
      <c r="B123" s="8" t="s">
        <v>753</v>
      </c>
      <c r="C123" s="2" t="s">
        <v>754</v>
      </c>
      <c r="D123" s="8" t="n">
        <v>2011</v>
      </c>
      <c r="E123" s="8" t="s">
        <v>755</v>
      </c>
      <c r="F123" s="8" t="s">
        <v>83</v>
      </c>
      <c r="G123" s="8" t="s">
        <v>756</v>
      </c>
      <c r="H123" s="8" t="n">
        <v>112</v>
      </c>
      <c r="I123" s="8" t="s">
        <v>130</v>
      </c>
      <c r="J123" s="8" t="s">
        <v>61</v>
      </c>
      <c r="K123" s="8" t="s">
        <v>62</v>
      </c>
      <c r="L123" s="8" t="s">
        <v>757</v>
      </c>
    </row>
    <row r="124" customFormat="false" ht="23.85" hidden="false" customHeight="false" outlineLevel="0" collapsed="false">
      <c r="A124" s="8" t="s">
        <v>758</v>
      </c>
      <c r="B124" s="8" t="s">
        <v>759</v>
      </c>
      <c r="C124" s="2" t="s">
        <v>760</v>
      </c>
      <c r="D124" s="8" t="n">
        <v>2011</v>
      </c>
      <c r="E124" s="8" t="s">
        <v>761</v>
      </c>
      <c r="F124" s="8" t="s">
        <v>58</v>
      </c>
      <c r="G124" s="8" t="s">
        <v>762</v>
      </c>
      <c r="H124" s="8" t="n">
        <v>32</v>
      </c>
      <c r="I124" s="8" t="s">
        <v>497</v>
      </c>
      <c r="J124" s="8" t="s">
        <v>61</v>
      </c>
      <c r="K124" s="8" t="s">
        <v>62</v>
      </c>
      <c r="L124" s="8" t="s">
        <v>763</v>
      </c>
    </row>
    <row r="125" customFormat="false" ht="15" hidden="false" customHeight="false" outlineLevel="0" collapsed="false">
      <c r="A125" s="8" t="s">
        <v>764</v>
      </c>
      <c r="B125" s="8" t="s">
        <v>765</v>
      </c>
      <c r="C125" s="2" t="s">
        <v>766</v>
      </c>
      <c r="D125" s="8" t="n">
        <v>2010</v>
      </c>
      <c r="E125" s="8" t="s">
        <v>767</v>
      </c>
      <c r="F125" s="8" t="s">
        <v>58</v>
      </c>
      <c r="G125" s="8" t="s">
        <v>768</v>
      </c>
      <c r="H125" s="8" t="n">
        <v>12</v>
      </c>
      <c r="I125" s="8" t="s">
        <v>68</v>
      </c>
      <c r="J125" s="8" t="s">
        <v>61</v>
      </c>
      <c r="K125" s="8" t="s">
        <v>62</v>
      </c>
      <c r="L125" s="8" t="s">
        <v>769</v>
      </c>
    </row>
    <row r="126" customFormat="false" ht="15" hidden="false" customHeight="false" outlineLevel="0" collapsed="false">
      <c r="A126" s="8" t="s">
        <v>770</v>
      </c>
      <c r="B126" s="8" t="s">
        <v>771</v>
      </c>
      <c r="C126" s="2" t="s">
        <v>772</v>
      </c>
      <c r="D126" s="8" t="n">
        <v>2009</v>
      </c>
      <c r="E126" s="8" t="s">
        <v>773</v>
      </c>
      <c r="F126" s="8" t="s">
        <v>58</v>
      </c>
      <c r="G126" s="8" t="s">
        <v>774</v>
      </c>
      <c r="H126" s="8" t="n">
        <v>0</v>
      </c>
      <c r="I126" s="8" t="s">
        <v>68</v>
      </c>
      <c r="J126" s="8" t="s">
        <v>61</v>
      </c>
      <c r="K126" s="8" t="s">
        <v>62</v>
      </c>
      <c r="L126" s="8" t="s">
        <v>775</v>
      </c>
    </row>
  </sheetData>
  <autoFilter ref="A1:L1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7"/>
    <col collapsed="false" customWidth="true" hidden="false" outlineLevel="0" max="4" min="4" style="0" width="15"/>
    <col collapsed="false" customWidth="true" hidden="false" outlineLevel="0" max="5" min="5" style="0" width="26"/>
    <col collapsed="false" customWidth="true" hidden="false" outlineLevel="0" max="6" min="6" style="0" width="10"/>
    <col collapsed="false" customWidth="true" hidden="false" outlineLevel="0" max="7" min="7" style="0" width="7"/>
    <col collapsed="false" customWidth="true" hidden="false" outlineLevel="0" max="8" min="8" style="0" width="70"/>
  </cols>
  <sheetData>
    <row r="1" customFormat="false" ht="15" hidden="false" customHeight="false" outlineLevel="0" collapsed="false">
      <c r="A1" s="7" t="s">
        <v>42</v>
      </c>
      <c r="B1" s="7" t="s">
        <v>44</v>
      </c>
      <c r="C1" s="7" t="s">
        <v>45</v>
      </c>
      <c r="D1" s="7" t="s">
        <v>47</v>
      </c>
      <c r="E1" s="7" t="s">
        <v>48</v>
      </c>
      <c r="F1" s="7" t="s">
        <v>776</v>
      </c>
      <c r="G1" s="7" t="s">
        <v>777</v>
      </c>
      <c r="H1" s="7" t="s">
        <v>778</v>
      </c>
    </row>
    <row r="2" customFormat="false" ht="15" hidden="false" customHeight="false" outlineLevel="0" collapsed="false">
      <c r="A2" s="8" t="s">
        <v>779</v>
      </c>
      <c r="B2" s="8" t="s">
        <v>780</v>
      </c>
      <c r="C2" s="8" t="n">
        <v>2024</v>
      </c>
      <c r="D2" s="8" t="s">
        <v>83</v>
      </c>
      <c r="E2" s="8" t="s">
        <v>781</v>
      </c>
      <c r="F2" s="8" t="s">
        <v>782</v>
      </c>
      <c r="G2" s="8" t="s">
        <v>783</v>
      </c>
      <c r="H2" s="8" t="s">
        <v>784</v>
      </c>
    </row>
    <row r="3" customFormat="false" ht="15" hidden="false" customHeight="false" outlineLevel="0" collapsed="false">
      <c r="A3" s="8" t="s">
        <v>785</v>
      </c>
      <c r="B3" s="8" t="s">
        <v>786</v>
      </c>
      <c r="C3" s="8" t="n">
        <v>2025</v>
      </c>
      <c r="D3" s="8" t="s">
        <v>58</v>
      </c>
      <c r="E3" s="8" t="s">
        <v>787</v>
      </c>
      <c r="F3" s="8" t="s">
        <v>782</v>
      </c>
      <c r="G3" s="8" t="s">
        <v>788</v>
      </c>
      <c r="H3" s="8" t="s">
        <v>789</v>
      </c>
    </row>
    <row r="4" customFormat="false" ht="15" hidden="false" customHeight="false" outlineLevel="0" collapsed="false">
      <c r="A4" s="8" t="s">
        <v>790</v>
      </c>
      <c r="B4" s="8" t="s">
        <v>791</v>
      </c>
      <c r="C4" s="8" t="n">
        <v>2025</v>
      </c>
      <c r="D4" s="8" t="s">
        <v>58</v>
      </c>
      <c r="E4" s="8"/>
      <c r="F4" s="8" t="s">
        <v>782</v>
      </c>
      <c r="G4" s="8" t="s">
        <v>783</v>
      </c>
      <c r="H4" s="8" t="s">
        <v>784</v>
      </c>
    </row>
    <row r="5" customFormat="false" ht="15" hidden="false" customHeight="false" outlineLevel="0" collapsed="false">
      <c r="A5" s="8" t="s">
        <v>792</v>
      </c>
      <c r="B5" s="8" t="s">
        <v>793</v>
      </c>
      <c r="C5" s="8" t="n">
        <v>2024</v>
      </c>
      <c r="D5" s="8" t="s">
        <v>58</v>
      </c>
      <c r="E5" s="8" t="s">
        <v>794</v>
      </c>
      <c r="F5" s="8" t="s">
        <v>782</v>
      </c>
      <c r="G5" s="8" t="s">
        <v>783</v>
      </c>
      <c r="H5" s="8" t="s">
        <v>784</v>
      </c>
    </row>
    <row r="6" customFormat="false" ht="15" hidden="false" customHeight="false" outlineLevel="0" collapsed="false">
      <c r="A6" s="8" t="s">
        <v>795</v>
      </c>
      <c r="B6" s="8" t="s">
        <v>796</v>
      </c>
      <c r="C6" s="8" t="n">
        <v>2026</v>
      </c>
      <c r="D6" s="8" t="s">
        <v>58</v>
      </c>
      <c r="E6" s="8" t="s">
        <v>797</v>
      </c>
      <c r="F6" s="8" t="s">
        <v>782</v>
      </c>
      <c r="G6" s="8" t="s">
        <v>783</v>
      </c>
      <c r="H6" s="8" t="s">
        <v>784</v>
      </c>
    </row>
    <row r="7" customFormat="false" ht="15" hidden="false" customHeight="false" outlineLevel="0" collapsed="false">
      <c r="A7" s="8" t="s">
        <v>798</v>
      </c>
      <c r="B7" s="8" t="s">
        <v>799</v>
      </c>
      <c r="C7" s="8" t="n">
        <v>2023</v>
      </c>
      <c r="D7" s="8" t="s">
        <v>58</v>
      </c>
      <c r="E7" s="8" t="s">
        <v>800</v>
      </c>
      <c r="F7" s="8" t="s">
        <v>782</v>
      </c>
      <c r="G7" s="8" t="s">
        <v>801</v>
      </c>
      <c r="H7" s="8" t="s">
        <v>802</v>
      </c>
    </row>
    <row r="8" customFormat="false" ht="15" hidden="false" customHeight="false" outlineLevel="0" collapsed="false">
      <c r="A8" s="8" t="s">
        <v>803</v>
      </c>
      <c r="B8" s="8" t="s">
        <v>804</v>
      </c>
      <c r="C8" s="8" t="n">
        <v>2025</v>
      </c>
      <c r="D8" s="8" t="s">
        <v>58</v>
      </c>
      <c r="E8" s="8" t="s">
        <v>805</v>
      </c>
      <c r="F8" s="8" t="s">
        <v>782</v>
      </c>
      <c r="G8" s="8" t="s">
        <v>783</v>
      </c>
      <c r="H8" s="8" t="s">
        <v>784</v>
      </c>
    </row>
    <row r="9" customFormat="false" ht="15" hidden="false" customHeight="false" outlineLevel="0" collapsed="false">
      <c r="A9" s="8" t="s">
        <v>806</v>
      </c>
      <c r="B9" s="8" t="s">
        <v>807</v>
      </c>
      <c r="C9" s="8" t="n">
        <v>2025</v>
      </c>
      <c r="D9" s="8" t="s">
        <v>58</v>
      </c>
      <c r="E9" s="8" t="s">
        <v>808</v>
      </c>
      <c r="F9" s="8" t="s">
        <v>782</v>
      </c>
      <c r="G9" s="8" t="s">
        <v>783</v>
      </c>
      <c r="H9" s="8" t="s">
        <v>784</v>
      </c>
    </row>
    <row r="10" customFormat="false" ht="15" hidden="false" customHeight="false" outlineLevel="0" collapsed="false">
      <c r="A10" s="8" t="s">
        <v>809</v>
      </c>
      <c r="B10" s="8" t="s">
        <v>810</v>
      </c>
      <c r="C10" s="8" t="n">
        <v>2025</v>
      </c>
      <c r="D10" s="8" t="s">
        <v>83</v>
      </c>
      <c r="E10" s="8" t="s">
        <v>811</v>
      </c>
      <c r="F10" s="8" t="s">
        <v>782</v>
      </c>
      <c r="G10" s="8" t="s">
        <v>783</v>
      </c>
      <c r="H10" s="8" t="s">
        <v>784</v>
      </c>
    </row>
    <row r="11" customFormat="false" ht="15" hidden="false" customHeight="false" outlineLevel="0" collapsed="false">
      <c r="A11" s="8" t="s">
        <v>812</v>
      </c>
      <c r="B11" s="8" t="s">
        <v>813</v>
      </c>
      <c r="C11" s="8" t="n">
        <v>2024</v>
      </c>
      <c r="D11" s="8" t="s">
        <v>83</v>
      </c>
      <c r="E11" s="8" t="s">
        <v>814</v>
      </c>
      <c r="F11" s="8" t="s">
        <v>782</v>
      </c>
      <c r="G11" s="8" t="s">
        <v>783</v>
      </c>
      <c r="H11" s="8" t="s">
        <v>784</v>
      </c>
    </row>
    <row r="12" customFormat="false" ht="15" hidden="false" customHeight="false" outlineLevel="0" collapsed="false">
      <c r="A12" s="8" t="s">
        <v>815</v>
      </c>
      <c r="B12" s="8" t="s">
        <v>816</v>
      </c>
      <c r="C12" s="8" t="n">
        <v>2024</v>
      </c>
      <c r="D12" s="8" t="s">
        <v>83</v>
      </c>
      <c r="E12" s="8" t="s">
        <v>817</v>
      </c>
      <c r="F12" s="8" t="s">
        <v>782</v>
      </c>
      <c r="G12" s="8" t="s">
        <v>783</v>
      </c>
      <c r="H12" s="8" t="s">
        <v>784</v>
      </c>
    </row>
    <row r="13" customFormat="false" ht="15" hidden="false" customHeight="false" outlineLevel="0" collapsed="false">
      <c r="A13" s="8" t="s">
        <v>818</v>
      </c>
      <c r="B13" s="8" t="s">
        <v>819</v>
      </c>
      <c r="C13" s="8" t="n">
        <v>2026</v>
      </c>
      <c r="D13" s="8" t="s">
        <v>58</v>
      </c>
      <c r="E13" s="8" t="s">
        <v>820</v>
      </c>
      <c r="F13" s="8" t="s">
        <v>782</v>
      </c>
      <c r="G13" s="8" t="s">
        <v>821</v>
      </c>
      <c r="H13" s="8" t="s">
        <v>822</v>
      </c>
    </row>
    <row r="14" customFormat="false" ht="15" hidden="false" customHeight="false" outlineLevel="0" collapsed="false">
      <c r="A14" s="8" t="s">
        <v>823</v>
      </c>
      <c r="B14" s="8" t="s">
        <v>824</v>
      </c>
      <c r="C14" s="8" t="n">
        <v>2024</v>
      </c>
      <c r="D14" s="8" t="s">
        <v>83</v>
      </c>
      <c r="E14" s="8" t="s">
        <v>825</v>
      </c>
      <c r="F14" s="8" t="s">
        <v>782</v>
      </c>
      <c r="G14" s="8" t="s">
        <v>788</v>
      </c>
      <c r="H14" s="8" t="s">
        <v>789</v>
      </c>
    </row>
    <row r="15" customFormat="false" ht="15" hidden="false" customHeight="false" outlineLevel="0" collapsed="false">
      <c r="A15" s="8" t="s">
        <v>826</v>
      </c>
      <c r="B15" s="8" t="s">
        <v>827</v>
      </c>
      <c r="C15" s="8" t="n">
        <v>2026</v>
      </c>
      <c r="D15" s="8" t="s">
        <v>58</v>
      </c>
      <c r="E15" s="8" t="s">
        <v>828</v>
      </c>
      <c r="F15" s="8" t="s">
        <v>782</v>
      </c>
      <c r="G15" s="8" t="s">
        <v>783</v>
      </c>
      <c r="H15" s="8" t="s">
        <v>784</v>
      </c>
    </row>
    <row r="16" customFormat="false" ht="15" hidden="false" customHeight="false" outlineLevel="0" collapsed="false">
      <c r="A16" s="8" t="s">
        <v>829</v>
      </c>
      <c r="B16" s="8" t="s">
        <v>830</v>
      </c>
      <c r="C16" s="8" t="n">
        <v>2025</v>
      </c>
      <c r="D16" s="8" t="s">
        <v>58</v>
      </c>
      <c r="E16" s="8" t="s">
        <v>831</v>
      </c>
      <c r="F16" s="8" t="s">
        <v>782</v>
      </c>
      <c r="G16" s="8" t="s">
        <v>801</v>
      </c>
      <c r="H16" s="8" t="s">
        <v>802</v>
      </c>
    </row>
    <row r="17" customFormat="false" ht="15" hidden="false" customHeight="false" outlineLevel="0" collapsed="false">
      <c r="A17" s="8" t="s">
        <v>832</v>
      </c>
      <c r="B17" s="8" t="s">
        <v>833</v>
      </c>
      <c r="C17" s="8" t="n">
        <v>2025</v>
      </c>
      <c r="D17" s="8" t="s">
        <v>58</v>
      </c>
      <c r="E17" s="8" t="s">
        <v>834</v>
      </c>
      <c r="F17" s="8" t="s">
        <v>782</v>
      </c>
      <c r="G17" s="8" t="s">
        <v>801</v>
      </c>
      <c r="H17" s="8" t="s">
        <v>802</v>
      </c>
    </row>
    <row r="18" customFormat="false" ht="15" hidden="false" customHeight="false" outlineLevel="0" collapsed="false">
      <c r="A18" s="8" t="s">
        <v>835</v>
      </c>
      <c r="B18" s="8" t="s">
        <v>836</v>
      </c>
      <c r="C18" s="8" t="n">
        <v>2024</v>
      </c>
      <c r="D18" s="8" t="s">
        <v>58</v>
      </c>
      <c r="E18" s="8" t="s">
        <v>837</v>
      </c>
      <c r="F18" s="8" t="s">
        <v>782</v>
      </c>
      <c r="G18" s="8" t="s">
        <v>821</v>
      </c>
      <c r="H18" s="8" t="s">
        <v>822</v>
      </c>
    </row>
    <row r="19" customFormat="false" ht="15" hidden="false" customHeight="false" outlineLevel="0" collapsed="false">
      <c r="A19" s="8" t="s">
        <v>838</v>
      </c>
      <c r="B19" s="8" t="s">
        <v>839</v>
      </c>
      <c r="C19" s="8" t="n">
        <v>2025</v>
      </c>
      <c r="D19" s="8" t="s">
        <v>58</v>
      </c>
      <c r="E19" s="8" t="s">
        <v>840</v>
      </c>
      <c r="F19" s="8" t="s">
        <v>782</v>
      </c>
      <c r="G19" s="8" t="s">
        <v>783</v>
      </c>
      <c r="H19" s="8" t="s">
        <v>784</v>
      </c>
    </row>
    <row r="20" customFormat="false" ht="15" hidden="false" customHeight="false" outlineLevel="0" collapsed="false">
      <c r="A20" s="8" t="s">
        <v>841</v>
      </c>
      <c r="B20" s="8" t="s">
        <v>842</v>
      </c>
      <c r="C20" s="8" t="n">
        <v>2025</v>
      </c>
      <c r="D20" s="8" t="s">
        <v>83</v>
      </c>
      <c r="E20" s="8" t="s">
        <v>843</v>
      </c>
      <c r="F20" s="8" t="s">
        <v>782</v>
      </c>
      <c r="G20" s="8" t="s">
        <v>783</v>
      </c>
      <c r="H20" s="8" t="s">
        <v>784</v>
      </c>
    </row>
    <row r="21" customFormat="false" ht="15" hidden="false" customHeight="false" outlineLevel="0" collapsed="false">
      <c r="A21" s="8" t="s">
        <v>844</v>
      </c>
      <c r="B21" s="8" t="s">
        <v>845</v>
      </c>
      <c r="C21" s="8" t="n">
        <v>2026</v>
      </c>
      <c r="D21" s="8" t="s">
        <v>58</v>
      </c>
      <c r="E21" s="8" t="s">
        <v>846</v>
      </c>
      <c r="F21" s="8" t="s">
        <v>782</v>
      </c>
      <c r="G21" s="8" t="s">
        <v>783</v>
      </c>
      <c r="H21" s="8" t="s">
        <v>784</v>
      </c>
    </row>
    <row r="22" customFormat="false" ht="15" hidden="false" customHeight="false" outlineLevel="0" collapsed="false">
      <c r="A22" s="8" t="s">
        <v>847</v>
      </c>
      <c r="B22" s="8" t="s">
        <v>848</v>
      </c>
      <c r="C22" s="8" t="n">
        <v>2024</v>
      </c>
      <c r="D22" s="8" t="s">
        <v>83</v>
      </c>
      <c r="E22" s="8"/>
      <c r="F22" s="8" t="s">
        <v>782</v>
      </c>
      <c r="G22" s="8" t="s">
        <v>783</v>
      </c>
      <c r="H22" s="8" t="s">
        <v>784</v>
      </c>
    </row>
    <row r="23" customFormat="false" ht="15" hidden="false" customHeight="false" outlineLevel="0" collapsed="false">
      <c r="A23" s="8" t="s">
        <v>849</v>
      </c>
      <c r="B23" s="8" t="s">
        <v>850</v>
      </c>
      <c r="C23" s="8" t="n">
        <v>2025</v>
      </c>
      <c r="D23" s="8" t="s">
        <v>58</v>
      </c>
      <c r="E23" s="8" t="s">
        <v>851</v>
      </c>
      <c r="F23" s="8" t="s">
        <v>782</v>
      </c>
      <c r="G23" s="8" t="s">
        <v>783</v>
      </c>
      <c r="H23" s="8" t="s">
        <v>784</v>
      </c>
    </row>
    <row r="24" customFormat="false" ht="15" hidden="false" customHeight="false" outlineLevel="0" collapsed="false">
      <c r="A24" s="8" t="s">
        <v>277</v>
      </c>
      <c r="B24" s="8" t="s">
        <v>279</v>
      </c>
      <c r="C24" s="8" t="n">
        <v>2025</v>
      </c>
      <c r="D24" s="8" t="s">
        <v>58</v>
      </c>
      <c r="E24" s="8" t="s">
        <v>280</v>
      </c>
      <c r="F24" s="8" t="s">
        <v>852</v>
      </c>
      <c r="G24" s="8" t="s">
        <v>853</v>
      </c>
      <c r="H24" s="8" t="s">
        <v>854</v>
      </c>
    </row>
    <row r="25" customFormat="false" ht="15" hidden="false" customHeight="false" outlineLevel="0" collapsed="false">
      <c r="A25" s="8" t="s">
        <v>855</v>
      </c>
      <c r="B25" s="8" t="s">
        <v>856</v>
      </c>
      <c r="C25" s="8" t="n">
        <v>2024</v>
      </c>
      <c r="D25" s="8" t="s">
        <v>58</v>
      </c>
      <c r="E25" s="8" t="s">
        <v>857</v>
      </c>
      <c r="F25" s="8" t="s">
        <v>782</v>
      </c>
      <c r="G25" s="8" t="s">
        <v>783</v>
      </c>
      <c r="H25" s="8" t="s">
        <v>784</v>
      </c>
    </row>
    <row r="26" customFormat="false" ht="15" hidden="false" customHeight="false" outlineLevel="0" collapsed="false">
      <c r="A26" s="8" t="s">
        <v>858</v>
      </c>
      <c r="B26" s="8" t="s">
        <v>859</v>
      </c>
      <c r="C26" s="8" t="n">
        <v>2025</v>
      </c>
      <c r="D26" s="8" t="s">
        <v>58</v>
      </c>
      <c r="E26" s="8" t="s">
        <v>860</v>
      </c>
      <c r="F26" s="8" t="s">
        <v>782</v>
      </c>
      <c r="G26" s="8" t="s">
        <v>783</v>
      </c>
      <c r="H26" s="8" t="s">
        <v>861</v>
      </c>
    </row>
    <row r="27" customFormat="false" ht="15" hidden="false" customHeight="false" outlineLevel="0" collapsed="false">
      <c r="A27" s="8" t="s">
        <v>862</v>
      </c>
      <c r="B27" s="8" t="s">
        <v>863</v>
      </c>
      <c r="C27" s="8" t="n">
        <v>2025</v>
      </c>
      <c r="D27" s="8" t="s">
        <v>58</v>
      </c>
      <c r="E27" s="8" t="s">
        <v>864</v>
      </c>
      <c r="F27" s="8" t="s">
        <v>782</v>
      </c>
      <c r="G27" s="8" t="s">
        <v>783</v>
      </c>
      <c r="H27" s="8" t="s">
        <v>784</v>
      </c>
    </row>
    <row r="28" customFormat="false" ht="15" hidden="false" customHeight="false" outlineLevel="0" collapsed="false">
      <c r="A28" s="8" t="s">
        <v>865</v>
      </c>
      <c r="B28" s="8" t="s">
        <v>866</v>
      </c>
      <c r="C28" s="8" t="n">
        <v>2025</v>
      </c>
      <c r="D28" s="8" t="s">
        <v>90</v>
      </c>
      <c r="E28" s="8" t="s">
        <v>867</v>
      </c>
      <c r="F28" s="8" t="s">
        <v>782</v>
      </c>
      <c r="G28" s="8" t="s">
        <v>783</v>
      </c>
      <c r="H28" s="8" t="s">
        <v>784</v>
      </c>
    </row>
    <row r="29" customFormat="false" ht="15" hidden="false" customHeight="false" outlineLevel="0" collapsed="false">
      <c r="A29" s="8" t="s">
        <v>868</v>
      </c>
      <c r="B29" s="8" t="s">
        <v>869</v>
      </c>
      <c r="C29" s="8" t="n">
        <v>2026</v>
      </c>
      <c r="D29" s="8" t="s">
        <v>58</v>
      </c>
      <c r="E29" s="8" t="s">
        <v>870</v>
      </c>
      <c r="F29" s="8" t="s">
        <v>782</v>
      </c>
      <c r="G29" s="8" t="s">
        <v>801</v>
      </c>
      <c r="H29" s="8" t="s">
        <v>802</v>
      </c>
    </row>
    <row r="30" customFormat="false" ht="15" hidden="false" customHeight="false" outlineLevel="0" collapsed="false">
      <c r="A30" s="8" t="s">
        <v>871</v>
      </c>
      <c r="B30" s="8" t="s">
        <v>872</v>
      </c>
      <c r="C30" s="8" t="n">
        <v>2025</v>
      </c>
      <c r="D30" s="8" t="s">
        <v>58</v>
      </c>
      <c r="E30" s="8" t="s">
        <v>873</v>
      </c>
      <c r="F30" s="8" t="s">
        <v>782</v>
      </c>
      <c r="G30" s="8" t="s">
        <v>783</v>
      </c>
      <c r="H30" s="8" t="s">
        <v>784</v>
      </c>
    </row>
    <row r="31" customFormat="false" ht="15" hidden="false" customHeight="false" outlineLevel="0" collapsed="false">
      <c r="A31" s="8" t="s">
        <v>874</v>
      </c>
      <c r="B31" s="8" t="s">
        <v>875</v>
      </c>
      <c r="C31" s="8" t="n">
        <v>2026</v>
      </c>
      <c r="D31" s="8" t="s">
        <v>83</v>
      </c>
      <c r="E31" s="8" t="s">
        <v>876</v>
      </c>
      <c r="F31" s="8" t="s">
        <v>782</v>
      </c>
      <c r="G31" s="8" t="s">
        <v>783</v>
      </c>
      <c r="H31" s="8" t="s">
        <v>784</v>
      </c>
    </row>
    <row r="32" customFormat="false" ht="15" hidden="false" customHeight="false" outlineLevel="0" collapsed="false">
      <c r="A32" s="8" t="s">
        <v>877</v>
      </c>
      <c r="B32" s="8" t="s">
        <v>878</v>
      </c>
      <c r="C32" s="8" t="n">
        <v>2025</v>
      </c>
      <c r="D32" s="8" t="s">
        <v>58</v>
      </c>
      <c r="E32" s="8" t="s">
        <v>879</v>
      </c>
      <c r="F32" s="8" t="s">
        <v>782</v>
      </c>
      <c r="G32" s="8" t="s">
        <v>783</v>
      </c>
      <c r="H32" s="8" t="s">
        <v>784</v>
      </c>
    </row>
    <row r="33" customFormat="false" ht="15" hidden="false" customHeight="false" outlineLevel="0" collapsed="false">
      <c r="A33" s="8" t="s">
        <v>880</v>
      </c>
      <c r="B33" s="8" t="s">
        <v>881</v>
      </c>
      <c r="C33" s="8" t="n">
        <v>2025</v>
      </c>
      <c r="D33" s="8" t="s">
        <v>58</v>
      </c>
      <c r="E33" s="8" t="s">
        <v>882</v>
      </c>
      <c r="F33" s="8" t="s">
        <v>782</v>
      </c>
      <c r="G33" s="8" t="s">
        <v>783</v>
      </c>
      <c r="H33" s="8" t="s">
        <v>784</v>
      </c>
    </row>
    <row r="34" customFormat="false" ht="15" hidden="false" customHeight="false" outlineLevel="0" collapsed="false">
      <c r="A34" s="8" t="s">
        <v>883</v>
      </c>
      <c r="B34" s="8" t="s">
        <v>884</v>
      </c>
      <c r="C34" s="8" t="n">
        <v>2025</v>
      </c>
      <c r="D34" s="8" t="s">
        <v>58</v>
      </c>
      <c r="E34" s="8" t="s">
        <v>885</v>
      </c>
      <c r="F34" s="8" t="s">
        <v>782</v>
      </c>
      <c r="G34" s="8" t="s">
        <v>821</v>
      </c>
      <c r="H34" s="8" t="s">
        <v>822</v>
      </c>
    </row>
    <row r="35" customFormat="false" ht="15" hidden="false" customHeight="false" outlineLevel="0" collapsed="false">
      <c r="A35" s="8" t="s">
        <v>305</v>
      </c>
      <c r="B35" s="8" t="s">
        <v>307</v>
      </c>
      <c r="C35" s="8" t="n">
        <v>2024</v>
      </c>
      <c r="D35" s="8" t="s">
        <v>58</v>
      </c>
      <c r="E35" s="8" t="s">
        <v>309</v>
      </c>
      <c r="F35" s="8" t="s">
        <v>852</v>
      </c>
      <c r="G35" s="8" t="s">
        <v>853</v>
      </c>
      <c r="H35" s="8" t="s">
        <v>854</v>
      </c>
    </row>
    <row r="36" customFormat="false" ht="15" hidden="false" customHeight="false" outlineLevel="0" collapsed="false">
      <c r="A36" s="8" t="s">
        <v>886</v>
      </c>
      <c r="B36" s="8" t="s">
        <v>887</v>
      </c>
      <c r="C36" s="8" t="n">
        <v>2024</v>
      </c>
      <c r="D36" s="8" t="s">
        <v>58</v>
      </c>
      <c r="E36" s="8" t="s">
        <v>888</v>
      </c>
      <c r="F36" s="8" t="s">
        <v>782</v>
      </c>
      <c r="G36" s="8" t="s">
        <v>783</v>
      </c>
      <c r="H36" s="8" t="s">
        <v>784</v>
      </c>
    </row>
    <row r="37" customFormat="false" ht="15" hidden="false" customHeight="false" outlineLevel="0" collapsed="false">
      <c r="A37" s="8" t="s">
        <v>889</v>
      </c>
      <c r="B37" s="8" t="s">
        <v>890</v>
      </c>
      <c r="C37" s="8" t="n">
        <v>2024</v>
      </c>
      <c r="D37" s="8" t="s">
        <v>58</v>
      </c>
      <c r="E37" s="8" t="s">
        <v>891</v>
      </c>
      <c r="F37" s="8" t="s">
        <v>782</v>
      </c>
      <c r="G37" s="8" t="s">
        <v>801</v>
      </c>
      <c r="H37" s="8" t="s">
        <v>802</v>
      </c>
    </row>
    <row r="38" customFormat="false" ht="15" hidden="false" customHeight="false" outlineLevel="0" collapsed="false">
      <c r="A38" s="8" t="s">
        <v>892</v>
      </c>
      <c r="B38" s="8" t="s">
        <v>893</v>
      </c>
      <c r="C38" s="8" t="n">
        <v>2024</v>
      </c>
      <c r="D38" s="8" t="s">
        <v>83</v>
      </c>
      <c r="E38" s="8" t="s">
        <v>894</v>
      </c>
      <c r="F38" s="8" t="s">
        <v>782</v>
      </c>
      <c r="G38" s="8" t="s">
        <v>895</v>
      </c>
      <c r="H38" s="8" t="s">
        <v>896</v>
      </c>
    </row>
    <row r="39" customFormat="false" ht="15" hidden="false" customHeight="false" outlineLevel="0" collapsed="false">
      <c r="A39" s="8" t="s">
        <v>897</v>
      </c>
      <c r="B39" s="8" t="s">
        <v>898</v>
      </c>
      <c r="C39" s="8" t="n">
        <v>2024</v>
      </c>
      <c r="D39" s="8" t="s">
        <v>58</v>
      </c>
      <c r="E39" s="8" t="s">
        <v>899</v>
      </c>
      <c r="F39" s="8" t="s">
        <v>782</v>
      </c>
      <c r="G39" s="8" t="s">
        <v>783</v>
      </c>
      <c r="H39" s="8" t="s">
        <v>784</v>
      </c>
    </row>
    <row r="40" customFormat="false" ht="15" hidden="false" customHeight="false" outlineLevel="0" collapsed="false">
      <c r="A40" s="8" t="s">
        <v>900</v>
      </c>
      <c r="B40" s="8" t="s">
        <v>901</v>
      </c>
      <c r="C40" s="8" t="n">
        <v>2026</v>
      </c>
      <c r="D40" s="8" t="s">
        <v>58</v>
      </c>
      <c r="E40" s="8" t="s">
        <v>902</v>
      </c>
      <c r="F40" s="8" t="s">
        <v>782</v>
      </c>
      <c r="G40" s="8" t="s">
        <v>783</v>
      </c>
      <c r="H40" s="8" t="s">
        <v>861</v>
      </c>
    </row>
    <row r="41" customFormat="false" ht="15" hidden="false" customHeight="false" outlineLevel="0" collapsed="false">
      <c r="A41" s="8" t="s">
        <v>903</v>
      </c>
      <c r="B41" s="8" t="s">
        <v>904</v>
      </c>
      <c r="C41" s="8" t="n">
        <v>2025</v>
      </c>
      <c r="D41" s="8" t="s">
        <v>58</v>
      </c>
      <c r="E41" s="8" t="s">
        <v>905</v>
      </c>
      <c r="F41" s="8" t="s">
        <v>782</v>
      </c>
      <c r="G41" s="8" t="s">
        <v>783</v>
      </c>
      <c r="H41" s="8" t="s">
        <v>861</v>
      </c>
    </row>
    <row r="42" customFormat="false" ht="15" hidden="false" customHeight="false" outlineLevel="0" collapsed="false">
      <c r="A42" s="8" t="s">
        <v>79</v>
      </c>
      <c r="B42" s="8" t="s">
        <v>81</v>
      </c>
      <c r="C42" s="8" t="n">
        <v>2026</v>
      </c>
      <c r="D42" s="8" t="s">
        <v>83</v>
      </c>
      <c r="E42" s="8" t="s">
        <v>84</v>
      </c>
      <c r="F42" s="8" t="s">
        <v>852</v>
      </c>
      <c r="G42" s="8" t="s">
        <v>853</v>
      </c>
      <c r="H42" s="8" t="s">
        <v>854</v>
      </c>
    </row>
    <row r="43" customFormat="false" ht="15" hidden="false" customHeight="false" outlineLevel="0" collapsed="false">
      <c r="A43" s="8" t="s">
        <v>906</v>
      </c>
      <c r="B43" s="8" t="s">
        <v>907</v>
      </c>
      <c r="C43" s="8" t="n">
        <v>2024</v>
      </c>
      <c r="D43" s="8" t="s">
        <v>58</v>
      </c>
      <c r="E43" s="8" t="s">
        <v>908</v>
      </c>
      <c r="F43" s="8" t="s">
        <v>782</v>
      </c>
      <c r="G43" s="8" t="s">
        <v>783</v>
      </c>
      <c r="H43" s="8" t="s">
        <v>784</v>
      </c>
    </row>
    <row r="44" customFormat="false" ht="15" hidden="false" customHeight="false" outlineLevel="0" collapsed="false">
      <c r="A44" s="8" t="s">
        <v>909</v>
      </c>
      <c r="B44" s="8" t="s">
        <v>910</v>
      </c>
      <c r="C44" s="8" t="n">
        <v>2025</v>
      </c>
      <c r="D44" s="8" t="s">
        <v>58</v>
      </c>
      <c r="E44" s="8" t="s">
        <v>911</v>
      </c>
      <c r="F44" s="8" t="s">
        <v>782</v>
      </c>
      <c r="G44" s="8" t="s">
        <v>783</v>
      </c>
      <c r="H44" s="8" t="s">
        <v>784</v>
      </c>
    </row>
    <row r="45" customFormat="false" ht="15" hidden="false" customHeight="false" outlineLevel="0" collapsed="false">
      <c r="A45" s="8" t="s">
        <v>912</v>
      </c>
      <c r="B45" s="8" t="s">
        <v>913</v>
      </c>
      <c r="C45" s="8" t="n">
        <v>2025</v>
      </c>
      <c r="D45" s="8" t="s">
        <v>58</v>
      </c>
      <c r="E45" s="8" t="s">
        <v>914</v>
      </c>
      <c r="F45" s="8" t="s">
        <v>782</v>
      </c>
      <c r="G45" s="8" t="s">
        <v>801</v>
      </c>
      <c r="H45" s="8" t="s">
        <v>915</v>
      </c>
    </row>
    <row r="46" customFormat="false" ht="15" hidden="false" customHeight="false" outlineLevel="0" collapsed="false">
      <c r="A46" s="8" t="s">
        <v>916</v>
      </c>
      <c r="B46" s="8" t="s">
        <v>917</v>
      </c>
      <c r="C46" s="8" t="n">
        <v>2024</v>
      </c>
      <c r="D46" s="8" t="s">
        <v>58</v>
      </c>
      <c r="E46" s="8" t="s">
        <v>918</v>
      </c>
      <c r="F46" s="8" t="s">
        <v>782</v>
      </c>
      <c r="G46" s="8" t="s">
        <v>783</v>
      </c>
      <c r="H46" s="8" t="s">
        <v>784</v>
      </c>
    </row>
    <row r="47" customFormat="false" ht="15" hidden="false" customHeight="false" outlineLevel="0" collapsed="false">
      <c r="A47" s="8" t="s">
        <v>919</v>
      </c>
      <c r="B47" s="8" t="s">
        <v>920</v>
      </c>
      <c r="C47" s="8" t="n">
        <v>2025</v>
      </c>
      <c r="D47" s="8" t="s">
        <v>58</v>
      </c>
      <c r="E47" s="8" t="s">
        <v>921</v>
      </c>
      <c r="F47" s="8" t="s">
        <v>782</v>
      </c>
      <c r="G47" s="8" t="s">
        <v>783</v>
      </c>
      <c r="H47" s="8" t="s">
        <v>784</v>
      </c>
    </row>
    <row r="48" customFormat="false" ht="15" hidden="false" customHeight="false" outlineLevel="0" collapsed="false">
      <c r="A48" s="8" t="s">
        <v>922</v>
      </c>
      <c r="B48" s="8" t="s">
        <v>923</v>
      </c>
      <c r="C48" s="8" t="n">
        <v>2024</v>
      </c>
      <c r="D48" s="8" t="s">
        <v>58</v>
      </c>
      <c r="E48" s="8" t="s">
        <v>924</v>
      </c>
      <c r="F48" s="8" t="s">
        <v>782</v>
      </c>
      <c r="G48" s="8" t="s">
        <v>783</v>
      </c>
      <c r="H48" s="8" t="s">
        <v>861</v>
      </c>
    </row>
    <row r="49" customFormat="false" ht="15" hidden="false" customHeight="false" outlineLevel="0" collapsed="false">
      <c r="A49" s="8" t="s">
        <v>925</v>
      </c>
      <c r="B49" s="8" t="s">
        <v>926</v>
      </c>
      <c r="C49" s="8" t="n">
        <v>2024</v>
      </c>
      <c r="D49" s="8" t="s">
        <v>58</v>
      </c>
      <c r="E49" s="8" t="s">
        <v>927</v>
      </c>
      <c r="F49" s="8" t="s">
        <v>782</v>
      </c>
      <c r="G49" s="8" t="s">
        <v>783</v>
      </c>
      <c r="H49" s="8" t="s">
        <v>784</v>
      </c>
    </row>
    <row r="50" customFormat="false" ht="15" hidden="false" customHeight="false" outlineLevel="0" collapsed="false">
      <c r="A50" s="8" t="s">
        <v>928</v>
      </c>
      <c r="B50" s="8" t="s">
        <v>929</v>
      </c>
      <c r="C50" s="8" t="n">
        <v>2026</v>
      </c>
      <c r="D50" s="8" t="s">
        <v>58</v>
      </c>
      <c r="E50" s="8" t="s">
        <v>930</v>
      </c>
      <c r="F50" s="8" t="s">
        <v>782</v>
      </c>
      <c r="G50" s="8" t="s">
        <v>783</v>
      </c>
      <c r="H50" s="8" t="s">
        <v>784</v>
      </c>
    </row>
    <row r="51" customFormat="false" ht="15" hidden="false" customHeight="false" outlineLevel="0" collapsed="false">
      <c r="A51" s="8" t="s">
        <v>931</v>
      </c>
      <c r="B51" s="8" t="s">
        <v>932</v>
      </c>
      <c r="C51" s="8" t="n">
        <v>2025</v>
      </c>
      <c r="D51" s="8" t="s">
        <v>58</v>
      </c>
      <c r="E51" s="8" t="s">
        <v>933</v>
      </c>
      <c r="F51" s="8" t="s">
        <v>782</v>
      </c>
      <c r="G51" s="8" t="s">
        <v>783</v>
      </c>
      <c r="H51" s="8" t="s">
        <v>784</v>
      </c>
    </row>
    <row r="52" customFormat="false" ht="15" hidden="false" customHeight="false" outlineLevel="0" collapsed="false">
      <c r="A52" s="8" t="s">
        <v>934</v>
      </c>
      <c r="B52" s="8" t="s">
        <v>935</v>
      </c>
      <c r="C52" s="8" t="n">
        <v>2025</v>
      </c>
      <c r="D52" s="8" t="s">
        <v>58</v>
      </c>
      <c r="E52" s="8"/>
      <c r="F52" s="8" t="s">
        <v>782</v>
      </c>
      <c r="G52" s="8" t="s">
        <v>783</v>
      </c>
      <c r="H52" s="8" t="s">
        <v>784</v>
      </c>
    </row>
    <row r="53" customFormat="false" ht="15" hidden="false" customHeight="false" outlineLevel="0" collapsed="false">
      <c r="A53" s="8" t="s">
        <v>936</v>
      </c>
      <c r="B53" s="8" t="s">
        <v>937</v>
      </c>
      <c r="C53" s="8" t="n">
        <v>2024</v>
      </c>
      <c r="D53" s="8" t="s">
        <v>58</v>
      </c>
      <c r="E53" s="8" t="s">
        <v>938</v>
      </c>
      <c r="F53" s="8" t="s">
        <v>782</v>
      </c>
      <c r="G53" s="8" t="s">
        <v>783</v>
      </c>
      <c r="H53" s="8" t="s">
        <v>784</v>
      </c>
    </row>
    <row r="54" customFormat="false" ht="15" hidden="false" customHeight="false" outlineLevel="0" collapsed="false">
      <c r="A54" s="8" t="s">
        <v>939</v>
      </c>
      <c r="B54" s="8" t="s">
        <v>940</v>
      </c>
      <c r="C54" s="8" t="n">
        <v>2024</v>
      </c>
      <c r="D54" s="8" t="s">
        <v>58</v>
      </c>
      <c r="E54" s="8" t="s">
        <v>941</v>
      </c>
      <c r="F54" s="8" t="s">
        <v>782</v>
      </c>
      <c r="G54" s="8" t="s">
        <v>783</v>
      </c>
      <c r="H54" s="8" t="s">
        <v>784</v>
      </c>
    </row>
    <row r="55" customFormat="false" ht="15" hidden="false" customHeight="false" outlineLevel="0" collapsed="false">
      <c r="A55" s="8" t="s">
        <v>942</v>
      </c>
      <c r="B55" s="8" t="s">
        <v>943</v>
      </c>
      <c r="C55" s="8" t="n">
        <v>2025</v>
      </c>
      <c r="D55" s="8" t="s">
        <v>58</v>
      </c>
      <c r="E55" s="8" t="s">
        <v>944</v>
      </c>
      <c r="F55" s="8" t="s">
        <v>782</v>
      </c>
      <c r="G55" s="8" t="s">
        <v>783</v>
      </c>
      <c r="H55" s="8" t="s">
        <v>784</v>
      </c>
    </row>
    <row r="56" customFormat="false" ht="15" hidden="false" customHeight="false" outlineLevel="0" collapsed="false">
      <c r="A56" s="8" t="s">
        <v>266</v>
      </c>
      <c r="B56" s="8" t="s">
        <v>268</v>
      </c>
      <c r="C56" s="8" t="n">
        <v>2025</v>
      </c>
      <c r="D56" s="8" t="s">
        <v>58</v>
      </c>
      <c r="E56" s="8" t="s">
        <v>269</v>
      </c>
      <c r="F56" s="8" t="s">
        <v>852</v>
      </c>
      <c r="G56" s="8" t="s">
        <v>853</v>
      </c>
      <c r="H56" s="8" t="s">
        <v>854</v>
      </c>
    </row>
    <row r="57" customFormat="false" ht="15" hidden="false" customHeight="false" outlineLevel="0" collapsed="false">
      <c r="A57" s="8" t="s">
        <v>945</v>
      </c>
      <c r="B57" s="8" t="s">
        <v>946</v>
      </c>
      <c r="C57" s="8" t="n">
        <v>2026</v>
      </c>
      <c r="D57" s="8" t="s">
        <v>58</v>
      </c>
      <c r="E57" s="8" t="s">
        <v>947</v>
      </c>
      <c r="F57" s="8" t="s">
        <v>782</v>
      </c>
      <c r="G57" s="8" t="s">
        <v>783</v>
      </c>
      <c r="H57" s="8" t="s">
        <v>784</v>
      </c>
    </row>
    <row r="58" customFormat="false" ht="15" hidden="false" customHeight="false" outlineLevel="0" collapsed="false">
      <c r="A58" s="8" t="s">
        <v>948</v>
      </c>
      <c r="B58" s="8" t="s">
        <v>949</v>
      </c>
      <c r="C58" s="8" t="n">
        <v>2025</v>
      </c>
      <c r="D58" s="8" t="s">
        <v>58</v>
      </c>
      <c r="E58" s="8" t="s">
        <v>950</v>
      </c>
      <c r="F58" s="8" t="s">
        <v>782</v>
      </c>
      <c r="G58" s="8" t="s">
        <v>783</v>
      </c>
      <c r="H58" s="8" t="s">
        <v>784</v>
      </c>
    </row>
    <row r="59" customFormat="false" ht="15" hidden="false" customHeight="false" outlineLevel="0" collapsed="false">
      <c r="A59" s="8" t="s">
        <v>951</v>
      </c>
      <c r="B59" s="8" t="s">
        <v>952</v>
      </c>
      <c r="C59" s="8" t="n">
        <v>2025</v>
      </c>
      <c r="D59" s="8" t="s">
        <v>58</v>
      </c>
      <c r="E59" s="8" t="s">
        <v>953</v>
      </c>
      <c r="F59" s="8" t="s">
        <v>782</v>
      </c>
      <c r="G59" s="8" t="s">
        <v>783</v>
      </c>
      <c r="H59" s="8" t="s">
        <v>784</v>
      </c>
    </row>
    <row r="60" customFormat="false" ht="15" hidden="false" customHeight="false" outlineLevel="0" collapsed="false">
      <c r="A60" s="8" t="s">
        <v>954</v>
      </c>
      <c r="B60" s="8" t="s">
        <v>955</v>
      </c>
      <c r="C60" s="8" t="n">
        <v>2026</v>
      </c>
      <c r="D60" s="8" t="s">
        <v>58</v>
      </c>
      <c r="E60" s="8" t="s">
        <v>956</v>
      </c>
      <c r="F60" s="8" t="s">
        <v>782</v>
      </c>
      <c r="G60" s="8" t="s">
        <v>783</v>
      </c>
      <c r="H60" s="8" t="s">
        <v>861</v>
      </c>
    </row>
    <row r="61" customFormat="false" ht="15" hidden="false" customHeight="false" outlineLevel="0" collapsed="false">
      <c r="A61" s="8" t="s">
        <v>957</v>
      </c>
      <c r="B61" s="8" t="s">
        <v>958</v>
      </c>
      <c r="C61" s="8" t="n">
        <v>2023</v>
      </c>
      <c r="D61" s="8" t="s">
        <v>83</v>
      </c>
      <c r="E61" s="8" t="s">
        <v>959</v>
      </c>
      <c r="F61" s="8" t="s">
        <v>782</v>
      </c>
      <c r="G61" s="8" t="s">
        <v>783</v>
      </c>
      <c r="H61" s="8" t="s">
        <v>784</v>
      </c>
    </row>
    <row r="62" customFormat="false" ht="15" hidden="false" customHeight="false" outlineLevel="0" collapsed="false">
      <c r="A62" s="8" t="s">
        <v>960</v>
      </c>
      <c r="B62" s="8" t="s">
        <v>961</v>
      </c>
      <c r="C62" s="8" t="n">
        <v>2025</v>
      </c>
      <c r="D62" s="8" t="s">
        <v>83</v>
      </c>
      <c r="E62" s="8" t="s">
        <v>962</v>
      </c>
      <c r="F62" s="8" t="s">
        <v>782</v>
      </c>
      <c r="G62" s="8" t="s">
        <v>783</v>
      </c>
      <c r="H62" s="8" t="s">
        <v>784</v>
      </c>
    </row>
    <row r="63" customFormat="false" ht="15" hidden="false" customHeight="false" outlineLevel="0" collapsed="false">
      <c r="A63" s="8" t="s">
        <v>963</v>
      </c>
      <c r="B63" s="8" t="s">
        <v>964</v>
      </c>
      <c r="C63" s="8" t="n">
        <v>2024</v>
      </c>
      <c r="D63" s="8" t="s">
        <v>58</v>
      </c>
      <c r="E63" s="8" t="s">
        <v>965</v>
      </c>
      <c r="F63" s="8" t="s">
        <v>782</v>
      </c>
      <c r="G63" s="8" t="s">
        <v>966</v>
      </c>
      <c r="H63" s="8" t="s">
        <v>967</v>
      </c>
    </row>
    <row r="64" customFormat="false" ht="15" hidden="false" customHeight="false" outlineLevel="0" collapsed="false">
      <c r="A64" s="8" t="s">
        <v>968</v>
      </c>
      <c r="B64" s="8" t="s">
        <v>969</v>
      </c>
      <c r="C64" s="8" t="n">
        <v>2025</v>
      </c>
      <c r="D64" s="8" t="s">
        <v>970</v>
      </c>
      <c r="E64" s="8" t="s">
        <v>971</v>
      </c>
      <c r="F64" s="8" t="s">
        <v>782</v>
      </c>
      <c r="G64" s="8" t="s">
        <v>972</v>
      </c>
      <c r="H64" s="8" t="s">
        <v>973</v>
      </c>
    </row>
    <row r="65" customFormat="false" ht="15" hidden="false" customHeight="false" outlineLevel="0" collapsed="false">
      <c r="A65" s="8" t="s">
        <v>64</v>
      </c>
      <c r="B65" s="8" t="s">
        <v>66</v>
      </c>
      <c r="C65" s="8" t="n">
        <v>2026</v>
      </c>
      <c r="D65" s="8" t="s">
        <v>58</v>
      </c>
      <c r="E65" s="8" t="s">
        <v>67</v>
      </c>
      <c r="F65" s="8" t="s">
        <v>852</v>
      </c>
      <c r="G65" s="8" t="s">
        <v>853</v>
      </c>
      <c r="H65" s="8" t="s">
        <v>854</v>
      </c>
    </row>
    <row r="66" customFormat="false" ht="15" hidden="false" customHeight="false" outlineLevel="0" collapsed="false">
      <c r="A66" s="8" t="s">
        <v>974</v>
      </c>
      <c r="B66" s="8" t="s">
        <v>975</v>
      </c>
      <c r="C66" s="8" t="n">
        <v>2026</v>
      </c>
      <c r="D66" s="8" t="s">
        <v>83</v>
      </c>
      <c r="E66" s="8" t="s">
        <v>976</v>
      </c>
      <c r="F66" s="8" t="s">
        <v>782</v>
      </c>
      <c r="G66" s="8" t="s">
        <v>783</v>
      </c>
      <c r="H66" s="8" t="s">
        <v>784</v>
      </c>
    </row>
    <row r="67" customFormat="false" ht="15" hidden="false" customHeight="false" outlineLevel="0" collapsed="false">
      <c r="A67" s="8" t="s">
        <v>977</v>
      </c>
      <c r="B67" s="8" t="s">
        <v>978</v>
      </c>
      <c r="C67" s="8" t="n">
        <v>2024</v>
      </c>
      <c r="D67" s="8" t="s">
        <v>58</v>
      </c>
      <c r="E67" s="8" t="s">
        <v>979</v>
      </c>
      <c r="F67" s="8" t="s">
        <v>782</v>
      </c>
      <c r="G67" s="8" t="s">
        <v>783</v>
      </c>
      <c r="H67" s="8" t="s">
        <v>784</v>
      </c>
    </row>
    <row r="68" customFormat="false" ht="15" hidden="false" customHeight="false" outlineLevel="0" collapsed="false">
      <c r="A68" s="8" t="s">
        <v>980</v>
      </c>
      <c r="B68" s="8" t="s">
        <v>981</v>
      </c>
      <c r="C68" s="8" t="n">
        <v>2025</v>
      </c>
      <c r="D68" s="8" t="s">
        <v>58</v>
      </c>
      <c r="E68" s="8" t="s">
        <v>982</v>
      </c>
      <c r="F68" s="8" t="s">
        <v>782</v>
      </c>
      <c r="G68" s="8" t="s">
        <v>783</v>
      </c>
      <c r="H68" s="8" t="s">
        <v>784</v>
      </c>
    </row>
    <row r="69" customFormat="false" ht="15" hidden="false" customHeight="false" outlineLevel="0" collapsed="false">
      <c r="A69" s="8" t="s">
        <v>983</v>
      </c>
      <c r="B69" s="8" t="s">
        <v>984</v>
      </c>
      <c r="C69" s="8" t="n">
        <v>2024</v>
      </c>
      <c r="D69" s="8" t="s">
        <v>83</v>
      </c>
      <c r="E69" s="8" t="s">
        <v>985</v>
      </c>
      <c r="F69" s="8" t="s">
        <v>782</v>
      </c>
      <c r="G69" s="8" t="s">
        <v>783</v>
      </c>
      <c r="H69" s="8" t="s">
        <v>784</v>
      </c>
    </row>
    <row r="70" customFormat="false" ht="15" hidden="false" customHeight="false" outlineLevel="0" collapsed="false">
      <c r="A70" s="8" t="s">
        <v>986</v>
      </c>
      <c r="B70" s="8" t="s">
        <v>987</v>
      </c>
      <c r="C70" s="8" t="n">
        <v>2026</v>
      </c>
      <c r="D70" s="8" t="s">
        <v>58</v>
      </c>
      <c r="E70" s="8" t="s">
        <v>988</v>
      </c>
      <c r="F70" s="8" t="s">
        <v>782</v>
      </c>
      <c r="G70" s="8" t="s">
        <v>783</v>
      </c>
      <c r="H70" s="8" t="s">
        <v>861</v>
      </c>
    </row>
    <row r="71" customFormat="false" ht="15" hidden="false" customHeight="false" outlineLevel="0" collapsed="false">
      <c r="A71" s="8" t="s">
        <v>989</v>
      </c>
      <c r="B71" s="8" t="s">
        <v>990</v>
      </c>
      <c r="C71" s="8" t="n">
        <v>2025</v>
      </c>
      <c r="D71" s="8" t="s">
        <v>58</v>
      </c>
      <c r="E71" s="8" t="s">
        <v>991</v>
      </c>
      <c r="F71" s="8" t="s">
        <v>782</v>
      </c>
      <c r="G71" s="8" t="s">
        <v>783</v>
      </c>
      <c r="H71" s="8" t="s">
        <v>784</v>
      </c>
    </row>
    <row r="72" customFormat="false" ht="15" hidden="false" customHeight="false" outlineLevel="0" collapsed="false">
      <c r="A72" s="8" t="s">
        <v>992</v>
      </c>
      <c r="B72" s="8" t="s">
        <v>993</v>
      </c>
      <c r="C72" s="8" t="n">
        <v>2025</v>
      </c>
      <c r="D72" s="8" t="s">
        <v>58</v>
      </c>
      <c r="E72" s="8" t="s">
        <v>994</v>
      </c>
      <c r="F72" s="8" t="s">
        <v>782</v>
      </c>
      <c r="G72" s="8" t="s">
        <v>783</v>
      </c>
      <c r="H72" s="8" t="s">
        <v>784</v>
      </c>
    </row>
    <row r="73" customFormat="false" ht="15" hidden="false" customHeight="false" outlineLevel="0" collapsed="false">
      <c r="A73" s="8" t="s">
        <v>995</v>
      </c>
      <c r="B73" s="8" t="s">
        <v>996</v>
      </c>
      <c r="C73" s="8" t="n">
        <v>2026</v>
      </c>
      <c r="D73" s="8" t="s">
        <v>58</v>
      </c>
      <c r="E73" s="8" t="s">
        <v>997</v>
      </c>
      <c r="F73" s="8" t="s">
        <v>782</v>
      </c>
      <c r="G73" s="8" t="s">
        <v>783</v>
      </c>
      <c r="H73" s="8" t="s">
        <v>784</v>
      </c>
    </row>
    <row r="74" customFormat="false" ht="15" hidden="false" customHeight="false" outlineLevel="0" collapsed="false">
      <c r="A74" s="8" t="s">
        <v>174</v>
      </c>
      <c r="B74" s="8" t="s">
        <v>176</v>
      </c>
      <c r="C74" s="8" t="n">
        <v>2025</v>
      </c>
      <c r="D74" s="8" t="s">
        <v>58</v>
      </c>
      <c r="E74" s="8" t="s">
        <v>178</v>
      </c>
      <c r="F74" s="8" t="s">
        <v>852</v>
      </c>
      <c r="G74" s="8" t="s">
        <v>853</v>
      </c>
      <c r="H74" s="8" t="s">
        <v>854</v>
      </c>
    </row>
    <row r="75" customFormat="false" ht="15" hidden="false" customHeight="false" outlineLevel="0" collapsed="false">
      <c r="A75" s="8" t="s">
        <v>998</v>
      </c>
      <c r="B75" s="8" t="s">
        <v>999</v>
      </c>
      <c r="C75" s="8" t="n">
        <v>2024</v>
      </c>
      <c r="D75" s="8" t="s">
        <v>58</v>
      </c>
      <c r="E75" s="8"/>
      <c r="F75" s="8" t="s">
        <v>782</v>
      </c>
      <c r="G75" s="8" t="s">
        <v>783</v>
      </c>
      <c r="H75" s="8" t="s">
        <v>784</v>
      </c>
    </row>
    <row r="76" customFormat="false" ht="15" hidden="false" customHeight="false" outlineLevel="0" collapsed="false">
      <c r="A76" s="8" t="s">
        <v>1000</v>
      </c>
      <c r="B76" s="8" t="s">
        <v>1001</v>
      </c>
      <c r="C76" s="8" t="n">
        <v>2024</v>
      </c>
      <c r="D76" s="8" t="s">
        <v>83</v>
      </c>
      <c r="E76" s="8" t="s">
        <v>1002</v>
      </c>
      <c r="F76" s="8" t="s">
        <v>782</v>
      </c>
      <c r="G76" s="8" t="s">
        <v>801</v>
      </c>
      <c r="H76" s="8" t="s">
        <v>802</v>
      </c>
    </row>
    <row r="77" customFormat="false" ht="15" hidden="false" customHeight="false" outlineLevel="0" collapsed="false">
      <c r="A77" s="8" t="s">
        <v>1003</v>
      </c>
      <c r="B77" s="8" t="s">
        <v>1004</v>
      </c>
      <c r="C77" s="8" t="n">
        <v>2024</v>
      </c>
      <c r="D77" s="8" t="s">
        <v>58</v>
      </c>
      <c r="E77" s="8" t="s">
        <v>1005</v>
      </c>
      <c r="F77" s="8" t="s">
        <v>782</v>
      </c>
      <c r="G77" s="8" t="s">
        <v>783</v>
      </c>
      <c r="H77" s="8" t="s">
        <v>784</v>
      </c>
    </row>
    <row r="78" customFormat="false" ht="15" hidden="false" customHeight="false" outlineLevel="0" collapsed="false">
      <c r="A78" s="8" t="s">
        <v>1006</v>
      </c>
      <c r="B78" s="8" t="s">
        <v>1007</v>
      </c>
      <c r="C78" s="8" t="n">
        <v>2026</v>
      </c>
      <c r="D78" s="8" t="s">
        <v>58</v>
      </c>
      <c r="E78" s="8" t="s">
        <v>1008</v>
      </c>
      <c r="F78" s="8" t="s">
        <v>782</v>
      </c>
      <c r="G78" s="8" t="s">
        <v>783</v>
      </c>
      <c r="H78" s="8" t="s">
        <v>861</v>
      </c>
    </row>
    <row r="79" customFormat="false" ht="15" hidden="false" customHeight="false" outlineLevel="0" collapsed="false">
      <c r="A79" s="8" t="s">
        <v>1009</v>
      </c>
      <c r="B79" s="8" t="s">
        <v>1010</v>
      </c>
      <c r="C79" s="8" t="n">
        <v>2025</v>
      </c>
      <c r="D79" s="8" t="s">
        <v>58</v>
      </c>
      <c r="E79" s="8" t="s">
        <v>1011</v>
      </c>
      <c r="F79" s="8" t="s">
        <v>782</v>
      </c>
      <c r="G79" s="8" t="s">
        <v>801</v>
      </c>
      <c r="H79" s="8" t="s">
        <v>802</v>
      </c>
    </row>
    <row r="80" customFormat="false" ht="15" hidden="false" customHeight="false" outlineLevel="0" collapsed="false">
      <c r="A80" s="8" t="s">
        <v>1012</v>
      </c>
      <c r="B80" s="8" t="s">
        <v>1013</v>
      </c>
      <c r="C80" s="8" t="n">
        <v>2024</v>
      </c>
      <c r="D80" s="8" t="s">
        <v>83</v>
      </c>
      <c r="E80" s="8" t="s">
        <v>1014</v>
      </c>
      <c r="F80" s="8" t="s">
        <v>782</v>
      </c>
      <c r="G80" s="8" t="s">
        <v>783</v>
      </c>
      <c r="H80" s="8" t="s">
        <v>784</v>
      </c>
    </row>
    <row r="81" customFormat="false" ht="15" hidden="false" customHeight="false" outlineLevel="0" collapsed="false">
      <c r="A81" s="8" t="s">
        <v>1015</v>
      </c>
      <c r="B81" s="8" t="s">
        <v>1016</v>
      </c>
      <c r="C81" s="8" t="n">
        <v>2024</v>
      </c>
      <c r="D81" s="8" t="s">
        <v>83</v>
      </c>
      <c r="E81" s="8" t="s">
        <v>1017</v>
      </c>
      <c r="F81" s="8" t="s">
        <v>782</v>
      </c>
      <c r="G81" s="8" t="s">
        <v>783</v>
      </c>
      <c r="H81" s="8" t="s">
        <v>784</v>
      </c>
    </row>
    <row r="82" customFormat="false" ht="15" hidden="false" customHeight="false" outlineLevel="0" collapsed="false">
      <c r="A82" s="8" t="s">
        <v>1018</v>
      </c>
      <c r="B82" s="8" t="s">
        <v>1019</v>
      </c>
      <c r="C82" s="8" t="n">
        <v>2024</v>
      </c>
      <c r="D82" s="8" t="s">
        <v>83</v>
      </c>
      <c r="E82" s="8" t="s">
        <v>1020</v>
      </c>
      <c r="F82" s="8" t="s">
        <v>782</v>
      </c>
      <c r="G82" s="8" t="s">
        <v>783</v>
      </c>
      <c r="H82" s="8" t="s">
        <v>784</v>
      </c>
    </row>
    <row r="83" customFormat="false" ht="15" hidden="false" customHeight="false" outlineLevel="0" collapsed="false">
      <c r="A83" s="8" t="s">
        <v>1021</v>
      </c>
      <c r="B83" s="8" t="s">
        <v>1022</v>
      </c>
      <c r="C83" s="8" t="n">
        <v>2024</v>
      </c>
      <c r="D83" s="8" t="s">
        <v>58</v>
      </c>
      <c r="E83" s="8" t="s">
        <v>1023</v>
      </c>
      <c r="F83" s="8" t="s">
        <v>782</v>
      </c>
      <c r="G83" s="8" t="s">
        <v>783</v>
      </c>
      <c r="H83" s="8" t="s">
        <v>784</v>
      </c>
    </row>
    <row r="84" customFormat="false" ht="15" hidden="false" customHeight="false" outlineLevel="0" collapsed="false">
      <c r="A84" s="8" t="s">
        <v>1024</v>
      </c>
      <c r="B84" s="8" t="s">
        <v>1025</v>
      </c>
      <c r="C84" s="8" t="n">
        <v>2024</v>
      </c>
      <c r="D84" s="8" t="s">
        <v>90</v>
      </c>
      <c r="E84" s="8" t="s">
        <v>1026</v>
      </c>
      <c r="F84" s="8" t="s">
        <v>782</v>
      </c>
      <c r="G84" s="8" t="s">
        <v>783</v>
      </c>
      <c r="H84" s="8" t="s">
        <v>784</v>
      </c>
    </row>
    <row r="85" customFormat="false" ht="15" hidden="false" customHeight="false" outlineLevel="0" collapsed="false">
      <c r="A85" s="8" t="s">
        <v>168</v>
      </c>
      <c r="B85" s="8" t="s">
        <v>170</v>
      </c>
      <c r="C85" s="8" t="n">
        <v>2025</v>
      </c>
      <c r="D85" s="8" t="s">
        <v>58</v>
      </c>
      <c r="E85" s="8" t="s">
        <v>172</v>
      </c>
      <c r="F85" s="8" t="s">
        <v>852</v>
      </c>
      <c r="G85" s="8" t="s">
        <v>853</v>
      </c>
      <c r="H85" s="8" t="s">
        <v>854</v>
      </c>
    </row>
    <row r="86" customFormat="false" ht="15" hidden="false" customHeight="false" outlineLevel="0" collapsed="false">
      <c r="A86" s="8" t="s">
        <v>1027</v>
      </c>
      <c r="B86" s="8" t="s">
        <v>1028</v>
      </c>
      <c r="C86" s="8" t="n">
        <v>2026</v>
      </c>
      <c r="D86" s="8" t="s">
        <v>58</v>
      </c>
      <c r="E86" s="8" t="s">
        <v>1029</v>
      </c>
      <c r="F86" s="8" t="s">
        <v>782</v>
      </c>
      <c r="G86" s="8" t="s">
        <v>783</v>
      </c>
      <c r="H86" s="8" t="s">
        <v>784</v>
      </c>
    </row>
    <row r="87" customFormat="false" ht="15" hidden="false" customHeight="false" outlineLevel="0" collapsed="false">
      <c r="A87" s="8" t="s">
        <v>1030</v>
      </c>
      <c r="B87" s="8" t="s">
        <v>1031</v>
      </c>
      <c r="C87" s="8" t="n">
        <v>2024</v>
      </c>
      <c r="D87" s="8" t="s">
        <v>83</v>
      </c>
      <c r="E87" s="8" t="s">
        <v>1032</v>
      </c>
      <c r="F87" s="8" t="s">
        <v>782</v>
      </c>
      <c r="G87" s="8" t="s">
        <v>783</v>
      </c>
      <c r="H87" s="8" t="s">
        <v>784</v>
      </c>
    </row>
    <row r="88" customFormat="false" ht="15" hidden="false" customHeight="false" outlineLevel="0" collapsed="false">
      <c r="A88" s="8" t="s">
        <v>1033</v>
      </c>
      <c r="B88" s="8" t="s">
        <v>1034</v>
      </c>
      <c r="C88" s="8" t="n">
        <v>2025</v>
      </c>
      <c r="D88" s="8" t="s">
        <v>58</v>
      </c>
      <c r="E88" s="8" t="s">
        <v>1035</v>
      </c>
      <c r="F88" s="8" t="s">
        <v>782</v>
      </c>
      <c r="G88" s="8" t="s">
        <v>783</v>
      </c>
      <c r="H88" s="8" t="s">
        <v>784</v>
      </c>
    </row>
    <row r="89" customFormat="false" ht="15" hidden="false" customHeight="false" outlineLevel="0" collapsed="false">
      <c r="A89" s="8" t="s">
        <v>1036</v>
      </c>
      <c r="B89" s="8" t="s">
        <v>1037</v>
      </c>
      <c r="C89" s="8" t="n">
        <v>2025</v>
      </c>
      <c r="D89" s="8" t="s">
        <v>58</v>
      </c>
      <c r="E89" s="8" t="s">
        <v>1038</v>
      </c>
      <c r="F89" s="8" t="s">
        <v>782</v>
      </c>
      <c r="G89" s="8" t="s">
        <v>783</v>
      </c>
      <c r="H89" s="8" t="s">
        <v>784</v>
      </c>
    </row>
    <row r="90" customFormat="false" ht="15" hidden="false" customHeight="false" outlineLevel="0" collapsed="false">
      <c r="A90" s="8" t="s">
        <v>1039</v>
      </c>
      <c r="B90" s="8" t="s">
        <v>1040</v>
      </c>
      <c r="C90" s="8" t="n">
        <v>2025</v>
      </c>
      <c r="D90" s="8" t="s">
        <v>58</v>
      </c>
      <c r="E90" s="8" t="s">
        <v>1041</v>
      </c>
      <c r="F90" s="8" t="s">
        <v>782</v>
      </c>
      <c r="G90" s="8" t="s">
        <v>783</v>
      </c>
      <c r="H90" s="8" t="s">
        <v>784</v>
      </c>
    </row>
    <row r="91" customFormat="false" ht="15" hidden="false" customHeight="false" outlineLevel="0" collapsed="false">
      <c r="A91" s="8" t="s">
        <v>138</v>
      </c>
      <c r="B91" s="8" t="s">
        <v>140</v>
      </c>
      <c r="C91" s="8" t="n">
        <v>2025</v>
      </c>
      <c r="D91" s="8" t="s">
        <v>58</v>
      </c>
      <c r="E91" s="8" t="s">
        <v>141</v>
      </c>
      <c r="F91" s="8" t="s">
        <v>852</v>
      </c>
      <c r="G91" s="8" t="s">
        <v>853</v>
      </c>
      <c r="H91" s="8" t="s">
        <v>854</v>
      </c>
    </row>
    <row r="92" customFormat="false" ht="15" hidden="false" customHeight="false" outlineLevel="0" collapsed="false">
      <c r="A92" s="8" t="s">
        <v>248</v>
      </c>
      <c r="B92" s="8" t="s">
        <v>250</v>
      </c>
      <c r="C92" s="8" t="n">
        <v>2025</v>
      </c>
      <c r="D92" s="8" t="s">
        <v>58</v>
      </c>
      <c r="E92" s="8" t="s">
        <v>252</v>
      </c>
      <c r="F92" s="8" t="s">
        <v>852</v>
      </c>
      <c r="G92" s="8" t="s">
        <v>853</v>
      </c>
      <c r="H92" s="8" t="s">
        <v>854</v>
      </c>
    </row>
    <row r="93" customFormat="false" ht="15" hidden="false" customHeight="false" outlineLevel="0" collapsed="false">
      <c r="A93" s="8" t="s">
        <v>180</v>
      </c>
      <c r="B93" s="8" t="s">
        <v>182</v>
      </c>
      <c r="C93" s="8" t="n">
        <v>2025</v>
      </c>
      <c r="D93" s="8" t="s">
        <v>58</v>
      </c>
      <c r="E93" s="8" t="s">
        <v>183</v>
      </c>
      <c r="F93" s="8" t="s">
        <v>852</v>
      </c>
      <c r="G93" s="8" t="s">
        <v>853</v>
      </c>
      <c r="H93" s="8" t="s">
        <v>854</v>
      </c>
    </row>
    <row r="94" customFormat="false" ht="15" hidden="false" customHeight="false" outlineLevel="0" collapsed="false">
      <c r="A94" s="8" t="s">
        <v>1042</v>
      </c>
      <c r="B94" s="8" t="s">
        <v>1043</v>
      </c>
      <c r="C94" s="8" t="n">
        <v>2025</v>
      </c>
      <c r="D94" s="8" t="s">
        <v>58</v>
      </c>
      <c r="E94" s="8" t="s">
        <v>1044</v>
      </c>
      <c r="F94" s="8" t="s">
        <v>782</v>
      </c>
      <c r="G94" s="8" t="s">
        <v>783</v>
      </c>
      <c r="H94" s="8" t="s">
        <v>861</v>
      </c>
    </row>
    <row r="95" customFormat="false" ht="15" hidden="false" customHeight="false" outlineLevel="0" collapsed="false">
      <c r="A95" s="8" t="s">
        <v>1045</v>
      </c>
      <c r="B95" s="8" t="s">
        <v>1046</v>
      </c>
      <c r="C95" s="8" t="n">
        <v>2025</v>
      </c>
      <c r="D95" s="8" t="s">
        <v>58</v>
      </c>
      <c r="E95" s="8" t="s">
        <v>1047</v>
      </c>
      <c r="F95" s="8" t="s">
        <v>782</v>
      </c>
      <c r="G95" s="8" t="s">
        <v>895</v>
      </c>
      <c r="H95" s="8" t="s">
        <v>896</v>
      </c>
    </row>
    <row r="96" customFormat="false" ht="15" hidden="false" customHeight="false" outlineLevel="0" collapsed="false">
      <c r="A96" s="8" t="s">
        <v>1048</v>
      </c>
      <c r="B96" s="8" t="s">
        <v>1049</v>
      </c>
      <c r="C96" s="8" t="n">
        <v>2024</v>
      </c>
      <c r="D96" s="8" t="s">
        <v>83</v>
      </c>
      <c r="E96" s="8" t="s">
        <v>1050</v>
      </c>
      <c r="F96" s="8" t="s">
        <v>782</v>
      </c>
      <c r="G96" s="8" t="s">
        <v>783</v>
      </c>
      <c r="H96" s="8" t="s">
        <v>784</v>
      </c>
    </row>
    <row r="97" customFormat="false" ht="15" hidden="false" customHeight="false" outlineLevel="0" collapsed="false">
      <c r="A97" s="8" t="s">
        <v>1051</v>
      </c>
      <c r="B97" s="8" t="s">
        <v>1052</v>
      </c>
      <c r="C97" s="8" t="n">
        <v>2024</v>
      </c>
      <c r="D97" s="8" t="s">
        <v>90</v>
      </c>
      <c r="E97" s="8" t="s">
        <v>1053</v>
      </c>
      <c r="F97" s="8" t="s">
        <v>782</v>
      </c>
      <c r="G97" s="8" t="s">
        <v>783</v>
      </c>
      <c r="H97" s="8" t="s">
        <v>784</v>
      </c>
    </row>
    <row r="98" customFormat="false" ht="15" hidden="false" customHeight="false" outlineLevel="0" collapsed="false">
      <c r="A98" s="8" t="s">
        <v>1054</v>
      </c>
      <c r="B98" s="8" t="s">
        <v>1055</v>
      </c>
      <c r="C98" s="8" t="n">
        <v>2024</v>
      </c>
      <c r="D98" s="8" t="s">
        <v>58</v>
      </c>
      <c r="E98" s="8" t="s">
        <v>1056</v>
      </c>
      <c r="F98" s="8" t="s">
        <v>782</v>
      </c>
      <c r="G98" s="8" t="s">
        <v>895</v>
      </c>
      <c r="H98" s="8" t="s">
        <v>896</v>
      </c>
    </row>
    <row r="99" customFormat="false" ht="15" hidden="false" customHeight="false" outlineLevel="0" collapsed="false">
      <c r="A99" s="8" t="s">
        <v>1057</v>
      </c>
      <c r="B99" s="8" t="s">
        <v>1058</v>
      </c>
      <c r="C99" s="8" t="n">
        <v>2023</v>
      </c>
      <c r="D99" s="8" t="s">
        <v>83</v>
      </c>
      <c r="E99" s="8" t="s">
        <v>1059</v>
      </c>
      <c r="F99" s="8" t="s">
        <v>782</v>
      </c>
      <c r="G99" s="8" t="s">
        <v>783</v>
      </c>
      <c r="H99" s="8" t="s">
        <v>861</v>
      </c>
    </row>
    <row r="100" customFormat="false" ht="15" hidden="false" customHeight="false" outlineLevel="0" collapsed="false">
      <c r="A100" s="8" t="s">
        <v>1060</v>
      </c>
      <c r="B100" s="8" t="s">
        <v>1061</v>
      </c>
      <c r="C100" s="8" t="n">
        <v>2025</v>
      </c>
      <c r="D100" s="8" t="s">
        <v>83</v>
      </c>
      <c r="E100" s="8" t="s">
        <v>1062</v>
      </c>
      <c r="F100" s="8" t="s">
        <v>782</v>
      </c>
      <c r="G100" s="8" t="s">
        <v>783</v>
      </c>
      <c r="H100" s="8" t="s">
        <v>861</v>
      </c>
    </row>
    <row r="101" customFormat="false" ht="15" hidden="false" customHeight="false" outlineLevel="0" collapsed="false">
      <c r="A101" s="8" t="s">
        <v>327</v>
      </c>
      <c r="B101" s="8" t="s">
        <v>329</v>
      </c>
      <c r="C101" s="8" t="n">
        <v>2024</v>
      </c>
      <c r="D101" s="8" t="s">
        <v>58</v>
      </c>
      <c r="E101" s="8" t="s">
        <v>331</v>
      </c>
      <c r="F101" s="8" t="s">
        <v>852</v>
      </c>
      <c r="G101" s="8" t="s">
        <v>853</v>
      </c>
      <c r="H101" s="8" t="s">
        <v>854</v>
      </c>
    </row>
    <row r="102" customFormat="false" ht="15" hidden="false" customHeight="false" outlineLevel="0" collapsed="false">
      <c r="A102" s="8" t="s">
        <v>1063</v>
      </c>
      <c r="B102" s="8" t="s">
        <v>1064</v>
      </c>
      <c r="C102" s="8" t="n">
        <v>2024</v>
      </c>
      <c r="D102" s="8" t="s">
        <v>58</v>
      </c>
      <c r="E102" s="8" t="s">
        <v>1065</v>
      </c>
      <c r="F102" s="8" t="s">
        <v>782</v>
      </c>
      <c r="G102" s="8" t="s">
        <v>783</v>
      </c>
      <c r="H102" s="8" t="s">
        <v>784</v>
      </c>
    </row>
    <row r="103" customFormat="false" ht="15" hidden="false" customHeight="false" outlineLevel="0" collapsed="false">
      <c r="A103" s="8" t="s">
        <v>1066</v>
      </c>
      <c r="B103" s="8" t="s">
        <v>1067</v>
      </c>
      <c r="C103" s="8" t="n">
        <v>2024</v>
      </c>
      <c r="D103" s="8" t="s">
        <v>58</v>
      </c>
      <c r="E103" s="8" t="s">
        <v>1068</v>
      </c>
      <c r="F103" s="8" t="s">
        <v>782</v>
      </c>
      <c r="G103" s="8" t="s">
        <v>783</v>
      </c>
      <c r="H103" s="8" t="s">
        <v>784</v>
      </c>
    </row>
    <row r="104" customFormat="false" ht="15" hidden="false" customHeight="false" outlineLevel="0" collapsed="false">
      <c r="A104" s="8" t="s">
        <v>1069</v>
      </c>
      <c r="B104" s="8" t="s">
        <v>1070</v>
      </c>
      <c r="C104" s="8" t="n">
        <v>2025</v>
      </c>
      <c r="D104" s="8" t="s">
        <v>58</v>
      </c>
      <c r="E104" s="8" t="s">
        <v>1071</v>
      </c>
      <c r="F104" s="8" t="s">
        <v>782</v>
      </c>
      <c r="G104" s="8" t="s">
        <v>783</v>
      </c>
      <c r="H104" s="8" t="s">
        <v>784</v>
      </c>
    </row>
    <row r="105" customFormat="false" ht="15" hidden="false" customHeight="false" outlineLevel="0" collapsed="false">
      <c r="A105" s="8" t="s">
        <v>1072</v>
      </c>
      <c r="B105" s="8" t="s">
        <v>1073</v>
      </c>
      <c r="C105" s="8" t="n">
        <v>2025</v>
      </c>
      <c r="D105" s="8" t="s">
        <v>58</v>
      </c>
      <c r="E105" s="8" t="s">
        <v>1074</v>
      </c>
      <c r="F105" s="8" t="s">
        <v>782</v>
      </c>
      <c r="G105" s="8" t="s">
        <v>783</v>
      </c>
      <c r="H105" s="8" t="s">
        <v>784</v>
      </c>
    </row>
    <row r="106" customFormat="false" ht="15" hidden="false" customHeight="false" outlineLevel="0" collapsed="false">
      <c r="A106" s="8" t="s">
        <v>1075</v>
      </c>
      <c r="B106" s="8" t="s">
        <v>1076</v>
      </c>
      <c r="C106" s="8" t="n">
        <v>2025</v>
      </c>
      <c r="D106" s="8" t="s">
        <v>90</v>
      </c>
      <c r="E106" s="8" t="s">
        <v>1077</v>
      </c>
      <c r="F106" s="8" t="s">
        <v>782</v>
      </c>
      <c r="G106" s="8" t="s">
        <v>821</v>
      </c>
      <c r="H106" s="8" t="s">
        <v>822</v>
      </c>
    </row>
    <row r="107" customFormat="false" ht="15" hidden="false" customHeight="false" outlineLevel="0" collapsed="false">
      <c r="A107" s="8" t="s">
        <v>1078</v>
      </c>
      <c r="B107" s="8" t="s">
        <v>1079</v>
      </c>
      <c r="C107" s="8" t="n">
        <v>2025</v>
      </c>
      <c r="D107" s="8" t="s">
        <v>58</v>
      </c>
      <c r="E107" s="8" t="s">
        <v>1080</v>
      </c>
      <c r="F107" s="8" t="s">
        <v>782</v>
      </c>
      <c r="G107" s="8" t="s">
        <v>783</v>
      </c>
      <c r="H107" s="8" t="s">
        <v>784</v>
      </c>
    </row>
    <row r="108" customFormat="false" ht="15" hidden="false" customHeight="false" outlineLevel="0" collapsed="false">
      <c r="A108" s="8" t="s">
        <v>1081</v>
      </c>
      <c r="B108" s="8" t="s">
        <v>1082</v>
      </c>
      <c r="C108" s="8" t="n">
        <v>2024</v>
      </c>
      <c r="D108" s="8" t="s">
        <v>83</v>
      </c>
      <c r="E108" s="8" t="s">
        <v>1083</v>
      </c>
      <c r="F108" s="8" t="s">
        <v>782</v>
      </c>
      <c r="G108" s="8" t="s">
        <v>783</v>
      </c>
      <c r="H108" s="8" t="s">
        <v>784</v>
      </c>
    </row>
    <row r="109" customFormat="false" ht="15" hidden="false" customHeight="false" outlineLevel="0" collapsed="false">
      <c r="A109" s="8" t="s">
        <v>1084</v>
      </c>
      <c r="B109" s="8" t="s">
        <v>1085</v>
      </c>
      <c r="C109" s="8" t="n">
        <v>2025</v>
      </c>
      <c r="D109" s="8" t="s">
        <v>90</v>
      </c>
      <c r="E109" s="8" t="s">
        <v>1086</v>
      </c>
      <c r="F109" s="8" t="s">
        <v>782</v>
      </c>
      <c r="G109" s="8" t="s">
        <v>788</v>
      </c>
      <c r="H109" s="8" t="s">
        <v>789</v>
      </c>
    </row>
    <row r="110" customFormat="false" ht="15" hidden="false" customHeight="false" outlineLevel="0" collapsed="false">
      <c r="A110" s="8" t="s">
        <v>1087</v>
      </c>
      <c r="B110" s="8" t="s">
        <v>1088</v>
      </c>
      <c r="C110" s="8" t="n">
        <v>2026</v>
      </c>
      <c r="D110" s="8" t="s">
        <v>58</v>
      </c>
      <c r="E110" s="8" t="s">
        <v>1089</v>
      </c>
      <c r="F110" s="8" t="s">
        <v>782</v>
      </c>
      <c r="G110" s="8" t="s">
        <v>821</v>
      </c>
      <c r="H110" s="8" t="s">
        <v>822</v>
      </c>
    </row>
    <row r="111" customFormat="false" ht="15" hidden="false" customHeight="false" outlineLevel="0" collapsed="false">
      <c r="A111" s="8" t="s">
        <v>1090</v>
      </c>
      <c r="B111" s="8" t="s">
        <v>1091</v>
      </c>
      <c r="C111" s="8" t="n">
        <v>2024</v>
      </c>
      <c r="D111" s="8" t="s">
        <v>83</v>
      </c>
      <c r="E111" s="8" t="s">
        <v>1092</v>
      </c>
      <c r="F111" s="8" t="s">
        <v>782</v>
      </c>
      <c r="G111" s="8" t="s">
        <v>895</v>
      </c>
      <c r="H111" s="8" t="s">
        <v>896</v>
      </c>
    </row>
    <row r="112" customFormat="false" ht="15" hidden="false" customHeight="false" outlineLevel="0" collapsed="false">
      <c r="A112" s="8" t="s">
        <v>1093</v>
      </c>
      <c r="B112" s="8" t="s">
        <v>1094</v>
      </c>
      <c r="C112" s="8" t="n">
        <v>2025</v>
      </c>
      <c r="D112" s="8" t="s">
        <v>58</v>
      </c>
      <c r="E112" s="8" t="s">
        <v>1095</v>
      </c>
      <c r="F112" s="8" t="s">
        <v>782</v>
      </c>
      <c r="G112" s="8" t="s">
        <v>801</v>
      </c>
      <c r="H112" s="8" t="s">
        <v>802</v>
      </c>
    </row>
    <row r="113" customFormat="false" ht="15" hidden="false" customHeight="false" outlineLevel="0" collapsed="false">
      <c r="A113" s="8" t="s">
        <v>1096</v>
      </c>
      <c r="B113" s="8" t="s">
        <v>1097</v>
      </c>
      <c r="C113" s="8" t="n">
        <v>2024</v>
      </c>
      <c r="D113" s="8" t="s">
        <v>83</v>
      </c>
      <c r="E113" s="8" t="s">
        <v>1098</v>
      </c>
      <c r="F113" s="8" t="s">
        <v>782</v>
      </c>
      <c r="G113" s="8" t="s">
        <v>783</v>
      </c>
      <c r="H113" s="8" t="s">
        <v>784</v>
      </c>
    </row>
    <row r="114" customFormat="false" ht="15" hidden="false" customHeight="false" outlineLevel="0" collapsed="false">
      <c r="A114" s="8" t="s">
        <v>1099</v>
      </c>
      <c r="B114" s="8" t="s">
        <v>1100</v>
      </c>
      <c r="C114" s="8" t="n">
        <v>2025</v>
      </c>
      <c r="D114" s="8" t="s">
        <v>83</v>
      </c>
      <c r="E114" s="8" t="s">
        <v>1101</v>
      </c>
      <c r="F114" s="8" t="s">
        <v>782</v>
      </c>
      <c r="G114" s="8" t="s">
        <v>783</v>
      </c>
      <c r="H114" s="8" t="s">
        <v>784</v>
      </c>
    </row>
    <row r="115" customFormat="false" ht="15" hidden="false" customHeight="false" outlineLevel="0" collapsed="false">
      <c r="A115" s="8" t="s">
        <v>1102</v>
      </c>
      <c r="B115" s="8" t="s">
        <v>1103</v>
      </c>
      <c r="C115" s="8" t="n">
        <v>2025</v>
      </c>
      <c r="D115" s="8" t="s">
        <v>90</v>
      </c>
      <c r="E115" s="8" t="s">
        <v>1104</v>
      </c>
      <c r="F115" s="8" t="s">
        <v>782</v>
      </c>
      <c r="G115" s="8" t="s">
        <v>821</v>
      </c>
      <c r="H115" s="8" t="s">
        <v>822</v>
      </c>
    </row>
    <row r="116" customFormat="false" ht="15" hidden="false" customHeight="false" outlineLevel="0" collapsed="false">
      <c r="A116" s="8" t="s">
        <v>1105</v>
      </c>
      <c r="B116" s="8" t="s">
        <v>1106</v>
      </c>
      <c r="C116" s="8" t="n">
        <v>2024</v>
      </c>
      <c r="D116" s="8" t="s">
        <v>58</v>
      </c>
      <c r="E116" s="8" t="s">
        <v>1107</v>
      </c>
      <c r="F116" s="8" t="s">
        <v>782</v>
      </c>
      <c r="G116" s="8" t="s">
        <v>783</v>
      </c>
      <c r="H116" s="8" t="s">
        <v>784</v>
      </c>
    </row>
    <row r="117" customFormat="false" ht="15" hidden="false" customHeight="false" outlineLevel="0" collapsed="false">
      <c r="A117" s="8" t="s">
        <v>1108</v>
      </c>
      <c r="B117" s="8" t="s">
        <v>1109</v>
      </c>
      <c r="C117" s="8" t="n">
        <v>2026</v>
      </c>
      <c r="D117" s="8" t="s">
        <v>58</v>
      </c>
      <c r="E117" s="8" t="s">
        <v>1110</v>
      </c>
      <c r="F117" s="8" t="s">
        <v>782</v>
      </c>
      <c r="G117" s="8" t="s">
        <v>783</v>
      </c>
      <c r="H117" s="8" t="s">
        <v>784</v>
      </c>
    </row>
    <row r="118" customFormat="false" ht="15" hidden="false" customHeight="false" outlineLevel="0" collapsed="false">
      <c r="A118" s="8" t="s">
        <v>1111</v>
      </c>
      <c r="B118" s="8" t="s">
        <v>1112</v>
      </c>
      <c r="C118" s="8" t="n">
        <v>2025</v>
      </c>
      <c r="D118" s="8" t="s">
        <v>58</v>
      </c>
      <c r="E118" s="8" t="s">
        <v>1113</v>
      </c>
      <c r="F118" s="8" t="s">
        <v>782</v>
      </c>
      <c r="G118" s="8" t="s">
        <v>783</v>
      </c>
      <c r="H118" s="8" t="s">
        <v>784</v>
      </c>
    </row>
    <row r="119" customFormat="false" ht="15" hidden="false" customHeight="false" outlineLevel="0" collapsed="false">
      <c r="A119" s="8" t="s">
        <v>1114</v>
      </c>
      <c r="B119" s="8" t="s">
        <v>1115</v>
      </c>
      <c r="C119" s="8" t="n">
        <v>2025</v>
      </c>
      <c r="D119" s="8" t="s">
        <v>58</v>
      </c>
      <c r="E119" s="8" t="s">
        <v>1116</v>
      </c>
      <c r="F119" s="8" t="s">
        <v>782</v>
      </c>
      <c r="G119" s="8" t="s">
        <v>783</v>
      </c>
      <c r="H119" s="8" t="s">
        <v>784</v>
      </c>
    </row>
    <row r="120" customFormat="false" ht="15" hidden="false" customHeight="false" outlineLevel="0" collapsed="false">
      <c r="A120" s="8" t="s">
        <v>1117</v>
      </c>
      <c r="B120" s="8" t="s">
        <v>1118</v>
      </c>
      <c r="C120" s="8" t="n">
        <v>2023</v>
      </c>
      <c r="D120" s="8" t="s">
        <v>74</v>
      </c>
      <c r="E120" s="8" t="s">
        <v>1119</v>
      </c>
      <c r="F120" s="8" t="s">
        <v>782</v>
      </c>
      <c r="G120" s="8" t="s">
        <v>783</v>
      </c>
      <c r="H120" s="8" t="s">
        <v>784</v>
      </c>
    </row>
    <row r="121" customFormat="false" ht="15" hidden="false" customHeight="false" outlineLevel="0" collapsed="false">
      <c r="A121" s="8" t="s">
        <v>333</v>
      </c>
      <c r="B121" s="8" t="s">
        <v>335</v>
      </c>
      <c r="C121" s="8" t="n">
        <v>2024</v>
      </c>
      <c r="D121" s="8" t="s">
        <v>58</v>
      </c>
      <c r="E121" s="8" t="s">
        <v>337</v>
      </c>
      <c r="F121" s="8" t="s">
        <v>852</v>
      </c>
      <c r="G121" s="8" t="s">
        <v>853</v>
      </c>
      <c r="H121" s="8" t="s">
        <v>854</v>
      </c>
    </row>
    <row r="122" customFormat="false" ht="15" hidden="false" customHeight="false" outlineLevel="0" collapsed="false">
      <c r="A122" s="8" t="s">
        <v>1120</v>
      </c>
      <c r="B122" s="8" t="s">
        <v>1121</v>
      </c>
      <c r="C122" s="8" t="n">
        <v>2024</v>
      </c>
      <c r="D122" s="8" t="s">
        <v>58</v>
      </c>
      <c r="E122" s="8" t="s">
        <v>1122</v>
      </c>
      <c r="F122" s="8" t="s">
        <v>782</v>
      </c>
      <c r="G122" s="8" t="s">
        <v>783</v>
      </c>
      <c r="H122" s="8" t="s">
        <v>784</v>
      </c>
    </row>
    <row r="123" customFormat="false" ht="15" hidden="false" customHeight="false" outlineLevel="0" collapsed="false">
      <c r="A123" s="8" t="s">
        <v>162</v>
      </c>
      <c r="B123" s="8" t="s">
        <v>164</v>
      </c>
      <c r="C123" s="8" t="n">
        <v>2025</v>
      </c>
      <c r="D123" s="8" t="s">
        <v>58</v>
      </c>
      <c r="E123" s="8" t="s">
        <v>166</v>
      </c>
      <c r="F123" s="8" t="s">
        <v>852</v>
      </c>
      <c r="G123" s="8" t="s">
        <v>853</v>
      </c>
      <c r="H123" s="8" t="s">
        <v>854</v>
      </c>
    </row>
    <row r="124" customFormat="false" ht="15" hidden="false" customHeight="false" outlineLevel="0" collapsed="false">
      <c r="A124" s="8" t="s">
        <v>1123</v>
      </c>
      <c r="B124" s="8" t="s">
        <v>1124</v>
      </c>
      <c r="C124" s="8" t="n">
        <v>2025</v>
      </c>
      <c r="D124" s="8" t="s">
        <v>970</v>
      </c>
      <c r="E124" s="8" t="s">
        <v>1125</v>
      </c>
      <c r="F124" s="8" t="s">
        <v>782</v>
      </c>
      <c r="G124" s="8" t="s">
        <v>783</v>
      </c>
      <c r="H124" s="8" t="s">
        <v>784</v>
      </c>
    </row>
    <row r="125" customFormat="false" ht="15" hidden="false" customHeight="false" outlineLevel="0" collapsed="false">
      <c r="A125" s="8" t="s">
        <v>1126</v>
      </c>
      <c r="B125" s="8" t="s">
        <v>1127</v>
      </c>
      <c r="C125" s="8" t="n">
        <v>2026</v>
      </c>
      <c r="D125" s="8" t="s">
        <v>58</v>
      </c>
      <c r="E125" s="8" t="s">
        <v>1128</v>
      </c>
      <c r="F125" s="8" t="s">
        <v>782</v>
      </c>
      <c r="G125" s="8" t="s">
        <v>788</v>
      </c>
      <c r="H125" s="8" t="s">
        <v>789</v>
      </c>
    </row>
    <row r="126" customFormat="false" ht="15" hidden="false" customHeight="false" outlineLevel="0" collapsed="false">
      <c r="A126" s="8" t="s">
        <v>1129</v>
      </c>
      <c r="B126" s="8" t="s">
        <v>1130</v>
      </c>
      <c r="C126" s="8" t="n">
        <v>2024</v>
      </c>
      <c r="D126" s="8" t="s">
        <v>58</v>
      </c>
      <c r="E126" s="8" t="s">
        <v>1131</v>
      </c>
      <c r="F126" s="8" t="s">
        <v>782</v>
      </c>
      <c r="G126" s="8" t="s">
        <v>783</v>
      </c>
      <c r="H126" s="8" t="s">
        <v>784</v>
      </c>
    </row>
    <row r="127" customFormat="false" ht="15" hidden="false" customHeight="false" outlineLevel="0" collapsed="false">
      <c r="A127" s="8" t="s">
        <v>1132</v>
      </c>
      <c r="B127" s="8" t="s">
        <v>1133</v>
      </c>
      <c r="C127" s="8" t="n">
        <v>2024</v>
      </c>
      <c r="D127" s="8" t="s">
        <v>83</v>
      </c>
      <c r="E127" s="8" t="s">
        <v>1134</v>
      </c>
      <c r="F127" s="8" t="s">
        <v>782</v>
      </c>
      <c r="G127" s="8" t="s">
        <v>783</v>
      </c>
      <c r="H127" s="8" t="s">
        <v>784</v>
      </c>
    </row>
    <row r="128" customFormat="false" ht="15" hidden="false" customHeight="false" outlineLevel="0" collapsed="false">
      <c r="A128" s="8" t="s">
        <v>1135</v>
      </c>
      <c r="B128" s="8" t="s">
        <v>1136</v>
      </c>
      <c r="C128" s="8" t="n">
        <v>2026</v>
      </c>
      <c r="D128" s="8" t="s">
        <v>83</v>
      </c>
      <c r="E128" s="8" t="s">
        <v>1137</v>
      </c>
      <c r="F128" s="8" t="s">
        <v>782</v>
      </c>
      <c r="G128" s="8" t="s">
        <v>788</v>
      </c>
      <c r="H128" s="8" t="s">
        <v>789</v>
      </c>
    </row>
    <row r="129" customFormat="false" ht="15" hidden="false" customHeight="false" outlineLevel="0" collapsed="false">
      <c r="A129" s="8" t="s">
        <v>1138</v>
      </c>
      <c r="B129" s="8" t="s">
        <v>1139</v>
      </c>
      <c r="C129" s="8" t="n">
        <v>2025</v>
      </c>
      <c r="D129" s="8" t="s">
        <v>58</v>
      </c>
      <c r="E129" s="8" t="s">
        <v>1140</v>
      </c>
      <c r="F129" s="8" t="s">
        <v>782</v>
      </c>
      <c r="G129" s="8" t="s">
        <v>821</v>
      </c>
      <c r="H129" s="8" t="s">
        <v>822</v>
      </c>
    </row>
    <row r="130" customFormat="false" ht="15" hidden="false" customHeight="false" outlineLevel="0" collapsed="false">
      <c r="A130" s="8" t="s">
        <v>1141</v>
      </c>
      <c r="B130" s="8" t="s">
        <v>1142</v>
      </c>
      <c r="C130" s="8" t="n">
        <v>2023</v>
      </c>
      <c r="D130" s="8" t="s">
        <v>83</v>
      </c>
      <c r="E130" s="8" t="s">
        <v>1143</v>
      </c>
      <c r="F130" s="8" t="s">
        <v>782</v>
      </c>
      <c r="G130" s="8" t="s">
        <v>783</v>
      </c>
      <c r="H130" s="8" t="s">
        <v>784</v>
      </c>
    </row>
    <row r="131" customFormat="false" ht="15" hidden="false" customHeight="false" outlineLevel="0" collapsed="false">
      <c r="A131" s="8" t="s">
        <v>1144</v>
      </c>
      <c r="B131" s="8" t="s">
        <v>1145</v>
      </c>
      <c r="C131" s="8" t="n">
        <v>2025</v>
      </c>
      <c r="D131" s="8" t="s">
        <v>83</v>
      </c>
      <c r="E131" s="8" t="s">
        <v>1146</v>
      </c>
      <c r="F131" s="8" t="s">
        <v>782</v>
      </c>
      <c r="G131" s="8" t="s">
        <v>783</v>
      </c>
      <c r="H131" s="8" t="s">
        <v>784</v>
      </c>
    </row>
    <row r="132" customFormat="false" ht="15" hidden="false" customHeight="false" outlineLevel="0" collapsed="false">
      <c r="A132" s="8" t="s">
        <v>1147</v>
      </c>
      <c r="B132" s="8" t="s">
        <v>1148</v>
      </c>
      <c r="C132" s="8" t="n">
        <v>2025</v>
      </c>
      <c r="D132" s="8" t="s">
        <v>83</v>
      </c>
      <c r="E132" s="8" t="s">
        <v>1149</v>
      </c>
      <c r="F132" s="8" t="s">
        <v>782</v>
      </c>
      <c r="G132" s="8" t="s">
        <v>801</v>
      </c>
      <c r="H132" s="8" t="s">
        <v>802</v>
      </c>
    </row>
    <row r="133" customFormat="false" ht="15" hidden="false" customHeight="false" outlineLevel="0" collapsed="false">
      <c r="A133" s="8" t="s">
        <v>1150</v>
      </c>
      <c r="B133" s="8" t="s">
        <v>1151</v>
      </c>
      <c r="C133" s="8" t="n">
        <v>2025</v>
      </c>
      <c r="D133" s="8" t="s">
        <v>58</v>
      </c>
      <c r="E133" s="8" t="s">
        <v>1152</v>
      </c>
      <c r="F133" s="8" t="s">
        <v>782</v>
      </c>
      <c r="G133" s="8" t="s">
        <v>783</v>
      </c>
      <c r="H133" s="8" t="s">
        <v>784</v>
      </c>
    </row>
    <row r="134" customFormat="false" ht="15" hidden="false" customHeight="false" outlineLevel="0" collapsed="false">
      <c r="A134" s="8" t="s">
        <v>1153</v>
      </c>
      <c r="B134" s="8" t="s">
        <v>1154</v>
      </c>
      <c r="C134" s="8" t="n">
        <v>2026</v>
      </c>
      <c r="D134" s="8" t="s">
        <v>83</v>
      </c>
      <c r="E134" s="8" t="s">
        <v>1155</v>
      </c>
      <c r="F134" s="8" t="s">
        <v>782</v>
      </c>
      <c r="G134" s="8" t="s">
        <v>783</v>
      </c>
      <c r="H134" s="8" t="s">
        <v>784</v>
      </c>
    </row>
    <row r="135" customFormat="false" ht="15" hidden="false" customHeight="false" outlineLevel="0" collapsed="false">
      <c r="A135" s="8" t="s">
        <v>1156</v>
      </c>
      <c r="B135" s="8" t="s">
        <v>1157</v>
      </c>
      <c r="C135" s="8" t="n">
        <v>2025</v>
      </c>
      <c r="D135" s="8" t="s">
        <v>58</v>
      </c>
      <c r="E135" s="8" t="s">
        <v>1158</v>
      </c>
      <c r="F135" s="8" t="s">
        <v>782</v>
      </c>
      <c r="G135" s="8" t="s">
        <v>783</v>
      </c>
      <c r="H135" s="8" t="s">
        <v>784</v>
      </c>
    </row>
    <row r="136" customFormat="false" ht="15" hidden="false" customHeight="false" outlineLevel="0" collapsed="false">
      <c r="A136" s="8" t="s">
        <v>1159</v>
      </c>
      <c r="B136" s="8" t="s">
        <v>1160</v>
      </c>
      <c r="C136" s="8" t="n">
        <v>2025</v>
      </c>
      <c r="D136" s="8" t="s">
        <v>58</v>
      </c>
      <c r="E136" s="8" t="s">
        <v>1161</v>
      </c>
      <c r="F136" s="8" t="s">
        <v>782</v>
      </c>
      <c r="G136" s="8" t="s">
        <v>895</v>
      </c>
      <c r="H136" s="8" t="s">
        <v>896</v>
      </c>
    </row>
    <row r="137" customFormat="false" ht="15" hidden="false" customHeight="false" outlineLevel="0" collapsed="false">
      <c r="A137" s="8" t="s">
        <v>125</v>
      </c>
      <c r="B137" s="8" t="s">
        <v>127</v>
      </c>
      <c r="C137" s="8" t="n">
        <v>2025</v>
      </c>
      <c r="D137" s="8" t="s">
        <v>58</v>
      </c>
      <c r="E137" s="8" t="s">
        <v>129</v>
      </c>
      <c r="F137" s="8" t="s">
        <v>852</v>
      </c>
      <c r="G137" s="8" t="s">
        <v>853</v>
      </c>
      <c r="H137" s="8" t="s">
        <v>854</v>
      </c>
    </row>
    <row r="138" customFormat="false" ht="15" hidden="false" customHeight="false" outlineLevel="0" collapsed="false">
      <c r="A138" s="8" t="s">
        <v>1162</v>
      </c>
      <c r="B138" s="8" t="s">
        <v>1163</v>
      </c>
      <c r="C138" s="8" t="n">
        <v>2026</v>
      </c>
      <c r="D138" s="8" t="s">
        <v>58</v>
      </c>
      <c r="E138" s="8" t="s">
        <v>1164</v>
      </c>
      <c r="F138" s="8" t="s">
        <v>782</v>
      </c>
      <c r="G138" s="8" t="s">
        <v>783</v>
      </c>
      <c r="H138" s="8" t="s">
        <v>861</v>
      </c>
    </row>
    <row r="139" customFormat="false" ht="15" hidden="false" customHeight="false" outlineLevel="0" collapsed="false">
      <c r="A139" s="8" t="s">
        <v>1165</v>
      </c>
      <c r="B139" s="8" t="s">
        <v>1166</v>
      </c>
      <c r="C139" s="8" t="n">
        <v>2025</v>
      </c>
      <c r="D139" s="8" t="s">
        <v>58</v>
      </c>
      <c r="E139" s="8" t="s">
        <v>1167</v>
      </c>
      <c r="F139" s="8" t="s">
        <v>782</v>
      </c>
      <c r="G139" s="8" t="s">
        <v>783</v>
      </c>
      <c r="H139" s="8" t="s">
        <v>784</v>
      </c>
    </row>
    <row r="140" customFormat="false" ht="15" hidden="false" customHeight="false" outlineLevel="0" collapsed="false">
      <c r="A140" s="8" t="s">
        <v>1168</v>
      </c>
      <c r="B140" s="8" t="s">
        <v>1169</v>
      </c>
      <c r="C140" s="8" t="n">
        <v>2025</v>
      </c>
      <c r="D140" s="8" t="s">
        <v>58</v>
      </c>
      <c r="E140" s="8" t="s">
        <v>1170</v>
      </c>
      <c r="F140" s="8" t="s">
        <v>782</v>
      </c>
      <c r="G140" s="8" t="s">
        <v>783</v>
      </c>
      <c r="H140" s="8" t="s">
        <v>784</v>
      </c>
    </row>
    <row r="141" customFormat="false" ht="15" hidden="false" customHeight="false" outlineLevel="0" collapsed="false">
      <c r="A141" s="8" t="s">
        <v>1171</v>
      </c>
      <c r="B141" s="8" t="s">
        <v>1172</v>
      </c>
      <c r="C141" s="8" t="n">
        <v>2024</v>
      </c>
      <c r="D141" s="8" t="s">
        <v>58</v>
      </c>
      <c r="E141" s="8" t="s">
        <v>1173</v>
      </c>
      <c r="F141" s="8" t="s">
        <v>782</v>
      </c>
      <c r="G141" s="8" t="s">
        <v>783</v>
      </c>
      <c r="H141" s="8" t="s">
        <v>784</v>
      </c>
    </row>
    <row r="142" customFormat="false" ht="15" hidden="false" customHeight="false" outlineLevel="0" collapsed="false">
      <c r="A142" s="8" t="s">
        <v>1174</v>
      </c>
      <c r="B142" s="8" t="s">
        <v>1175</v>
      </c>
      <c r="C142" s="8" t="n">
        <v>2024</v>
      </c>
      <c r="D142" s="8" t="s">
        <v>58</v>
      </c>
      <c r="E142" s="8" t="s">
        <v>1176</v>
      </c>
      <c r="F142" s="8" t="s">
        <v>782</v>
      </c>
      <c r="G142" s="8" t="s">
        <v>788</v>
      </c>
      <c r="H142" s="8" t="s">
        <v>789</v>
      </c>
    </row>
    <row r="143" customFormat="false" ht="15" hidden="false" customHeight="false" outlineLevel="0" collapsed="false">
      <c r="A143" s="8" t="s">
        <v>1177</v>
      </c>
      <c r="B143" s="8" t="s">
        <v>1178</v>
      </c>
      <c r="C143" s="8" t="n">
        <v>2025</v>
      </c>
      <c r="D143" s="8" t="s">
        <v>58</v>
      </c>
      <c r="E143" s="8" t="s">
        <v>1179</v>
      </c>
      <c r="F143" s="8" t="s">
        <v>782</v>
      </c>
      <c r="G143" s="8" t="s">
        <v>788</v>
      </c>
      <c r="H143" s="8" t="s">
        <v>789</v>
      </c>
    </row>
    <row r="144" customFormat="false" ht="15" hidden="false" customHeight="false" outlineLevel="0" collapsed="false">
      <c r="A144" s="8" t="s">
        <v>1180</v>
      </c>
      <c r="B144" s="8" t="s">
        <v>1181</v>
      </c>
      <c r="C144" s="8" t="n">
        <v>2024</v>
      </c>
      <c r="D144" s="8" t="s">
        <v>58</v>
      </c>
      <c r="E144" s="8" t="s">
        <v>1182</v>
      </c>
      <c r="F144" s="8" t="s">
        <v>782</v>
      </c>
      <c r="G144" s="8" t="s">
        <v>783</v>
      </c>
      <c r="H144" s="8" t="s">
        <v>784</v>
      </c>
    </row>
    <row r="145" customFormat="false" ht="15" hidden="false" customHeight="false" outlineLevel="0" collapsed="false">
      <c r="A145" s="8" t="s">
        <v>1183</v>
      </c>
      <c r="B145" s="8" t="s">
        <v>1184</v>
      </c>
      <c r="C145" s="8" t="n">
        <v>2024</v>
      </c>
      <c r="D145" s="8" t="s">
        <v>83</v>
      </c>
      <c r="E145" s="8" t="s">
        <v>1185</v>
      </c>
      <c r="F145" s="8" t="s">
        <v>782</v>
      </c>
      <c r="G145" s="8" t="s">
        <v>801</v>
      </c>
      <c r="H145" s="8" t="s">
        <v>802</v>
      </c>
    </row>
    <row r="146" customFormat="false" ht="15" hidden="false" customHeight="false" outlineLevel="0" collapsed="false">
      <c r="A146" s="8" t="s">
        <v>1186</v>
      </c>
      <c r="B146" s="8" t="s">
        <v>1187</v>
      </c>
      <c r="C146" s="8" t="n">
        <v>2024</v>
      </c>
      <c r="D146" s="8" t="s">
        <v>58</v>
      </c>
      <c r="E146" s="8" t="s">
        <v>1188</v>
      </c>
      <c r="F146" s="8" t="s">
        <v>782</v>
      </c>
      <c r="G146" s="8" t="s">
        <v>783</v>
      </c>
      <c r="H146" s="8" t="s">
        <v>784</v>
      </c>
    </row>
    <row r="147" customFormat="false" ht="15" hidden="false" customHeight="false" outlineLevel="0" collapsed="false">
      <c r="A147" s="8" t="s">
        <v>94</v>
      </c>
      <c r="B147" s="8" t="s">
        <v>96</v>
      </c>
      <c r="C147" s="8" t="n">
        <v>2026</v>
      </c>
      <c r="D147" s="8" t="s">
        <v>83</v>
      </c>
      <c r="E147" s="8" t="s">
        <v>98</v>
      </c>
      <c r="F147" s="8" t="s">
        <v>852</v>
      </c>
      <c r="G147" s="8" t="s">
        <v>853</v>
      </c>
      <c r="H147" s="8" t="s">
        <v>854</v>
      </c>
    </row>
    <row r="148" customFormat="false" ht="15" hidden="false" customHeight="false" outlineLevel="0" collapsed="false">
      <c r="A148" s="8" t="s">
        <v>1189</v>
      </c>
      <c r="B148" s="8" t="s">
        <v>1190</v>
      </c>
      <c r="C148" s="8" t="n">
        <v>2025</v>
      </c>
      <c r="D148" s="8" t="s">
        <v>58</v>
      </c>
      <c r="E148" s="8" t="s">
        <v>1191</v>
      </c>
      <c r="F148" s="8" t="s">
        <v>782</v>
      </c>
      <c r="G148" s="8" t="s">
        <v>783</v>
      </c>
      <c r="H148" s="8" t="s">
        <v>861</v>
      </c>
    </row>
    <row r="149" customFormat="false" ht="15" hidden="false" customHeight="false" outlineLevel="0" collapsed="false">
      <c r="A149" s="8" t="s">
        <v>101</v>
      </c>
      <c r="B149" s="8" t="s">
        <v>103</v>
      </c>
      <c r="C149" s="8" t="n">
        <v>2026</v>
      </c>
      <c r="D149" s="8" t="s">
        <v>58</v>
      </c>
      <c r="E149" s="8" t="s">
        <v>105</v>
      </c>
      <c r="F149" s="8" t="s">
        <v>852</v>
      </c>
      <c r="G149" s="8" t="s">
        <v>853</v>
      </c>
      <c r="H149" s="8" t="s">
        <v>854</v>
      </c>
    </row>
    <row r="150" customFormat="false" ht="15" hidden="false" customHeight="false" outlineLevel="0" collapsed="false">
      <c r="A150" s="8" t="s">
        <v>1192</v>
      </c>
      <c r="B150" s="8" t="s">
        <v>1193</v>
      </c>
      <c r="C150" s="8" t="n">
        <v>2024</v>
      </c>
      <c r="D150" s="8" t="s">
        <v>58</v>
      </c>
      <c r="E150" s="8" t="s">
        <v>1194</v>
      </c>
      <c r="F150" s="8" t="s">
        <v>782</v>
      </c>
      <c r="G150" s="8" t="s">
        <v>783</v>
      </c>
      <c r="H150" s="8" t="s">
        <v>784</v>
      </c>
    </row>
    <row r="151" customFormat="false" ht="15" hidden="false" customHeight="false" outlineLevel="0" collapsed="false">
      <c r="A151" s="8" t="s">
        <v>1195</v>
      </c>
      <c r="B151" s="8" t="s">
        <v>1196</v>
      </c>
      <c r="C151" s="8" t="n">
        <v>2026</v>
      </c>
      <c r="D151" s="8" t="s">
        <v>90</v>
      </c>
      <c r="E151" s="8" t="s">
        <v>1197</v>
      </c>
      <c r="F151" s="8" t="s">
        <v>782</v>
      </c>
      <c r="G151" s="8" t="s">
        <v>821</v>
      </c>
      <c r="H151" s="8" t="s">
        <v>822</v>
      </c>
    </row>
    <row r="152" customFormat="false" ht="15" hidden="false" customHeight="false" outlineLevel="0" collapsed="false">
      <c r="A152" s="8" t="s">
        <v>1198</v>
      </c>
      <c r="B152" s="8" t="s">
        <v>1199</v>
      </c>
      <c r="C152" s="8" t="n">
        <v>2025</v>
      </c>
      <c r="D152" s="8" t="s">
        <v>83</v>
      </c>
      <c r="E152" s="8" t="s">
        <v>1200</v>
      </c>
      <c r="F152" s="8" t="s">
        <v>782</v>
      </c>
      <c r="G152" s="8" t="s">
        <v>783</v>
      </c>
      <c r="H152" s="8" t="s">
        <v>784</v>
      </c>
    </row>
    <row r="153" customFormat="false" ht="15" hidden="false" customHeight="false" outlineLevel="0" collapsed="false">
      <c r="A153" s="8" t="s">
        <v>1201</v>
      </c>
      <c r="B153" s="8" t="s">
        <v>1202</v>
      </c>
      <c r="C153" s="8" t="n">
        <v>2024</v>
      </c>
      <c r="D153" s="8" t="s">
        <v>58</v>
      </c>
      <c r="E153" s="8" t="s">
        <v>1203</v>
      </c>
      <c r="F153" s="8" t="s">
        <v>782</v>
      </c>
      <c r="G153" s="8" t="s">
        <v>783</v>
      </c>
      <c r="H153" s="8" t="s">
        <v>784</v>
      </c>
    </row>
    <row r="154" customFormat="false" ht="15" hidden="false" customHeight="false" outlineLevel="0" collapsed="false">
      <c r="A154" s="8" t="s">
        <v>1204</v>
      </c>
      <c r="B154" s="8" t="s">
        <v>1205</v>
      </c>
      <c r="C154" s="8" t="n">
        <v>2025</v>
      </c>
      <c r="D154" s="8" t="s">
        <v>58</v>
      </c>
      <c r="E154" s="8" t="s">
        <v>1206</v>
      </c>
      <c r="F154" s="8" t="s">
        <v>782</v>
      </c>
      <c r="G154" s="8" t="s">
        <v>783</v>
      </c>
      <c r="H154" s="8" t="s">
        <v>784</v>
      </c>
    </row>
    <row r="155" customFormat="false" ht="15" hidden="false" customHeight="false" outlineLevel="0" collapsed="false">
      <c r="A155" s="8" t="s">
        <v>1207</v>
      </c>
      <c r="B155" s="8" t="s">
        <v>1208</v>
      </c>
      <c r="C155" s="8" t="n">
        <v>2024</v>
      </c>
      <c r="D155" s="8" t="s">
        <v>58</v>
      </c>
      <c r="E155" s="8" t="s">
        <v>1209</v>
      </c>
      <c r="F155" s="8" t="s">
        <v>782</v>
      </c>
      <c r="G155" s="8" t="s">
        <v>783</v>
      </c>
      <c r="H155" s="8" t="s">
        <v>784</v>
      </c>
    </row>
    <row r="156" customFormat="false" ht="15" hidden="false" customHeight="false" outlineLevel="0" collapsed="false">
      <c r="A156" s="8" t="s">
        <v>1210</v>
      </c>
      <c r="B156" s="8" t="s">
        <v>1211</v>
      </c>
      <c r="C156" s="8" t="n">
        <v>2024</v>
      </c>
      <c r="D156" s="8" t="s">
        <v>58</v>
      </c>
      <c r="E156" s="8"/>
      <c r="F156" s="8" t="s">
        <v>782</v>
      </c>
      <c r="G156" s="8" t="s">
        <v>783</v>
      </c>
      <c r="H156" s="8" t="s">
        <v>784</v>
      </c>
    </row>
    <row r="157" customFormat="false" ht="15" hidden="false" customHeight="false" outlineLevel="0" collapsed="false">
      <c r="A157" s="8" t="s">
        <v>1212</v>
      </c>
      <c r="B157" s="8" t="s">
        <v>1213</v>
      </c>
      <c r="C157" s="8" t="n">
        <v>2025</v>
      </c>
      <c r="D157" s="8" t="s">
        <v>58</v>
      </c>
      <c r="E157" s="8" t="s">
        <v>1214</v>
      </c>
      <c r="F157" s="8" t="s">
        <v>782</v>
      </c>
      <c r="G157" s="8" t="s">
        <v>966</v>
      </c>
      <c r="H157" s="8" t="s">
        <v>967</v>
      </c>
    </row>
    <row r="158" customFormat="false" ht="15" hidden="false" customHeight="false" outlineLevel="0" collapsed="false">
      <c r="A158" s="8" t="s">
        <v>1215</v>
      </c>
      <c r="B158" s="8" t="s">
        <v>1216</v>
      </c>
      <c r="C158" s="8" t="n">
        <v>2024</v>
      </c>
      <c r="D158" s="8" t="s">
        <v>58</v>
      </c>
      <c r="E158" s="8" t="s">
        <v>1217</v>
      </c>
      <c r="F158" s="8" t="s">
        <v>782</v>
      </c>
      <c r="G158" s="8" t="s">
        <v>801</v>
      </c>
      <c r="H158" s="8" t="s">
        <v>802</v>
      </c>
    </row>
    <row r="159" customFormat="false" ht="15" hidden="false" customHeight="false" outlineLevel="0" collapsed="false">
      <c r="A159" s="8" t="s">
        <v>1218</v>
      </c>
      <c r="B159" s="8" t="s">
        <v>1219</v>
      </c>
      <c r="C159" s="8" t="n">
        <v>2024</v>
      </c>
      <c r="D159" s="8" t="s">
        <v>58</v>
      </c>
      <c r="E159" s="8" t="s">
        <v>1220</v>
      </c>
      <c r="F159" s="8" t="s">
        <v>782</v>
      </c>
      <c r="G159" s="8" t="s">
        <v>783</v>
      </c>
      <c r="H159" s="8" t="s">
        <v>784</v>
      </c>
    </row>
    <row r="160" customFormat="false" ht="15" hidden="false" customHeight="false" outlineLevel="0" collapsed="false">
      <c r="A160" s="8" t="s">
        <v>1221</v>
      </c>
      <c r="B160" s="8" t="s">
        <v>1222</v>
      </c>
      <c r="C160" s="8" t="n">
        <v>2025</v>
      </c>
      <c r="D160" s="8" t="s">
        <v>83</v>
      </c>
      <c r="E160" s="8" t="s">
        <v>1223</v>
      </c>
      <c r="F160" s="8" t="s">
        <v>782</v>
      </c>
      <c r="G160" s="8" t="s">
        <v>783</v>
      </c>
      <c r="H160" s="8" t="s">
        <v>784</v>
      </c>
    </row>
    <row r="161" customFormat="false" ht="15" hidden="false" customHeight="false" outlineLevel="0" collapsed="false">
      <c r="A161" s="8" t="s">
        <v>1224</v>
      </c>
      <c r="B161" s="8" t="s">
        <v>1225</v>
      </c>
      <c r="C161" s="8" t="n">
        <v>2024</v>
      </c>
      <c r="D161" s="8" t="s">
        <v>83</v>
      </c>
      <c r="E161" s="8" t="s">
        <v>1226</v>
      </c>
      <c r="F161" s="8" t="s">
        <v>782</v>
      </c>
      <c r="G161" s="8" t="s">
        <v>801</v>
      </c>
      <c r="H161" s="8" t="s">
        <v>802</v>
      </c>
    </row>
    <row r="162" customFormat="false" ht="15" hidden="false" customHeight="false" outlineLevel="0" collapsed="false">
      <c r="A162" s="8" t="s">
        <v>1227</v>
      </c>
      <c r="B162" s="8" t="s">
        <v>1228</v>
      </c>
      <c r="C162" s="8" t="n">
        <v>2025</v>
      </c>
      <c r="D162" s="8" t="s">
        <v>58</v>
      </c>
      <c r="E162" s="8" t="s">
        <v>1229</v>
      </c>
      <c r="F162" s="8" t="s">
        <v>782</v>
      </c>
      <c r="G162" s="8" t="s">
        <v>783</v>
      </c>
      <c r="H162" s="8" t="s">
        <v>784</v>
      </c>
    </row>
    <row r="163" customFormat="false" ht="15" hidden="false" customHeight="false" outlineLevel="0" collapsed="false">
      <c r="A163" s="8" t="s">
        <v>1230</v>
      </c>
      <c r="B163" s="8" t="s">
        <v>1231</v>
      </c>
      <c r="C163" s="8" t="n">
        <v>2026</v>
      </c>
      <c r="D163" s="8" t="s">
        <v>58</v>
      </c>
      <c r="E163" s="8" t="s">
        <v>1232</v>
      </c>
      <c r="F163" s="8" t="s">
        <v>782</v>
      </c>
      <c r="G163" s="8" t="s">
        <v>783</v>
      </c>
      <c r="H163" s="8" t="s">
        <v>861</v>
      </c>
    </row>
    <row r="164" customFormat="false" ht="15" hidden="false" customHeight="false" outlineLevel="0" collapsed="false">
      <c r="A164" s="8" t="s">
        <v>1233</v>
      </c>
      <c r="B164" s="8" t="s">
        <v>1234</v>
      </c>
      <c r="C164" s="8" t="n">
        <v>2026</v>
      </c>
      <c r="D164" s="8" t="s">
        <v>58</v>
      </c>
      <c r="E164" s="8" t="s">
        <v>1235</v>
      </c>
      <c r="F164" s="8" t="s">
        <v>782</v>
      </c>
      <c r="G164" s="8" t="s">
        <v>783</v>
      </c>
      <c r="H164" s="8" t="s">
        <v>861</v>
      </c>
    </row>
    <row r="165" customFormat="false" ht="15" hidden="false" customHeight="false" outlineLevel="0" collapsed="false">
      <c r="A165" s="8" t="s">
        <v>1236</v>
      </c>
      <c r="B165" s="8" t="s">
        <v>1237</v>
      </c>
      <c r="C165" s="8" t="n">
        <v>2025</v>
      </c>
      <c r="D165" s="8" t="s">
        <v>58</v>
      </c>
      <c r="E165" s="8" t="s">
        <v>1238</v>
      </c>
      <c r="F165" s="8" t="s">
        <v>782</v>
      </c>
      <c r="G165" s="8" t="s">
        <v>783</v>
      </c>
      <c r="H165" s="8" t="s">
        <v>784</v>
      </c>
    </row>
    <row r="166" customFormat="false" ht="15" hidden="false" customHeight="false" outlineLevel="0" collapsed="false">
      <c r="A166" s="8" t="s">
        <v>1239</v>
      </c>
      <c r="B166" s="8" t="s">
        <v>1240</v>
      </c>
      <c r="C166" s="8" t="n">
        <v>2026</v>
      </c>
      <c r="D166" s="8" t="s">
        <v>58</v>
      </c>
      <c r="E166" s="8" t="s">
        <v>1241</v>
      </c>
      <c r="F166" s="8" t="s">
        <v>782</v>
      </c>
      <c r="G166" s="8" t="s">
        <v>783</v>
      </c>
      <c r="H166" s="8" t="s">
        <v>784</v>
      </c>
    </row>
    <row r="167" customFormat="false" ht="15" hidden="false" customHeight="false" outlineLevel="0" collapsed="false">
      <c r="A167" s="8" t="s">
        <v>1242</v>
      </c>
      <c r="B167" s="8" t="s">
        <v>1243</v>
      </c>
      <c r="C167" s="8" t="n">
        <v>2025</v>
      </c>
      <c r="D167" s="8" t="s">
        <v>58</v>
      </c>
      <c r="E167" s="8" t="s">
        <v>1244</v>
      </c>
      <c r="F167" s="8" t="s">
        <v>782</v>
      </c>
      <c r="G167" s="8" t="s">
        <v>821</v>
      </c>
      <c r="H167" s="8" t="s">
        <v>822</v>
      </c>
    </row>
    <row r="168" customFormat="false" ht="15" hidden="false" customHeight="false" outlineLevel="0" collapsed="false">
      <c r="A168" s="8" t="s">
        <v>1245</v>
      </c>
      <c r="B168" s="8" t="s">
        <v>1246</v>
      </c>
      <c r="C168" s="8" t="n">
        <v>2025</v>
      </c>
      <c r="D168" s="8" t="s">
        <v>83</v>
      </c>
      <c r="E168" s="8" t="s">
        <v>1247</v>
      </c>
      <c r="F168" s="8" t="s">
        <v>782</v>
      </c>
      <c r="G168" s="8" t="s">
        <v>783</v>
      </c>
      <c r="H168" s="8" t="s">
        <v>784</v>
      </c>
    </row>
    <row r="169" customFormat="false" ht="15" hidden="false" customHeight="false" outlineLevel="0" collapsed="false">
      <c r="A169" s="8" t="s">
        <v>1248</v>
      </c>
      <c r="B169" s="8" t="s">
        <v>1249</v>
      </c>
      <c r="C169" s="8" t="n">
        <v>2026</v>
      </c>
      <c r="D169" s="8" t="s">
        <v>83</v>
      </c>
      <c r="E169" s="8" t="s">
        <v>1250</v>
      </c>
      <c r="F169" s="8" t="s">
        <v>782</v>
      </c>
      <c r="G169" s="8" t="s">
        <v>783</v>
      </c>
      <c r="H169" s="8" t="s">
        <v>784</v>
      </c>
    </row>
    <row r="170" customFormat="false" ht="15" hidden="false" customHeight="false" outlineLevel="0" collapsed="false">
      <c r="A170" s="8" t="s">
        <v>1251</v>
      </c>
      <c r="B170" s="8" t="s">
        <v>1252</v>
      </c>
      <c r="C170" s="8" t="n">
        <v>2025</v>
      </c>
      <c r="D170" s="8" t="s">
        <v>58</v>
      </c>
      <c r="E170" s="8" t="s">
        <v>1253</v>
      </c>
      <c r="F170" s="8" t="s">
        <v>782</v>
      </c>
      <c r="G170" s="8" t="s">
        <v>783</v>
      </c>
      <c r="H170" s="8" t="s">
        <v>861</v>
      </c>
    </row>
    <row r="171" customFormat="false" ht="15" hidden="false" customHeight="false" outlineLevel="0" collapsed="false">
      <c r="A171" s="8" t="s">
        <v>1254</v>
      </c>
      <c r="B171" s="8" t="s">
        <v>1255</v>
      </c>
      <c r="C171" s="8" t="n">
        <v>2025</v>
      </c>
      <c r="D171" s="8" t="s">
        <v>58</v>
      </c>
      <c r="E171" s="8" t="s">
        <v>1256</v>
      </c>
      <c r="F171" s="8" t="s">
        <v>782</v>
      </c>
      <c r="G171" s="8" t="s">
        <v>783</v>
      </c>
      <c r="H171" s="8" t="s">
        <v>784</v>
      </c>
    </row>
    <row r="172" customFormat="false" ht="15" hidden="false" customHeight="false" outlineLevel="0" collapsed="false">
      <c r="A172" s="8" t="s">
        <v>1257</v>
      </c>
      <c r="B172" s="8" t="s">
        <v>1258</v>
      </c>
      <c r="C172" s="8" t="n">
        <v>2025</v>
      </c>
      <c r="D172" s="8" t="s">
        <v>83</v>
      </c>
      <c r="E172" s="8" t="s">
        <v>1259</v>
      </c>
      <c r="F172" s="8" t="s">
        <v>782</v>
      </c>
      <c r="G172" s="8" t="s">
        <v>783</v>
      </c>
      <c r="H172" s="8" t="s">
        <v>784</v>
      </c>
    </row>
    <row r="173" customFormat="false" ht="15" hidden="false" customHeight="false" outlineLevel="0" collapsed="false">
      <c r="A173" s="8" t="s">
        <v>1260</v>
      </c>
      <c r="B173" s="8" t="s">
        <v>1261</v>
      </c>
      <c r="C173" s="8" t="n">
        <v>2026</v>
      </c>
      <c r="D173" s="8" t="s">
        <v>83</v>
      </c>
      <c r="E173" s="8" t="s">
        <v>1262</v>
      </c>
      <c r="F173" s="8" t="s">
        <v>782</v>
      </c>
      <c r="G173" s="8" t="s">
        <v>788</v>
      </c>
      <c r="H173" s="8" t="s">
        <v>789</v>
      </c>
    </row>
    <row r="174" customFormat="false" ht="15" hidden="false" customHeight="false" outlineLevel="0" collapsed="false">
      <c r="A174" s="8" t="s">
        <v>1263</v>
      </c>
      <c r="B174" s="8" t="s">
        <v>1264</v>
      </c>
      <c r="C174" s="8" t="n">
        <v>2026</v>
      </c>
      <c r="D174" s="8" t="s">
        <v>58</v>
      </c>
      <c r="E174" s="8" t="s">
        <v>1265</v>
      </c>
      <c r="F174" s="8" t="s">
        <v>782</v>
      </c>
      <c r="G174" s="8" t="s">
        <v>783</v>
      </c>
      <c r="H174" s="8" t="s">
        <v>861</v>
      </c>
    </row>
    <row r="175" customFormat="false" ht="15" hidden="false" customHeight="false" outlineLevel="0" collapsed="false">
      <c r="A175" s="8" t="s">
        <v>1266</v>
      </c>
      <c r="B175" s="8" t="s">
        <v>1267</v>
      </c>
      <c r="C175" s="8" t="n">
        <v>2025</v>
      </c>
      <c r="D175" s="8" t="s">
        <v>58</v>
      </c>
      <c r="E175" s="8" t="s">
        <v>1268</v>
      </c>
      <c r="F175" s="8" t="s">
        <v>782</v>
      </c>
      <c r="G175" s="8" t="s">
        <v>783</v>
      </c>
      <c r="H175" s="8" t="s">
        <v>784</v>
      </c>
    </row>
    <row r="176" customFormat="false" ht="15" hidden="false" customHeight="false" outlineLevel="0" collapsed="false">
      <c r="A176" s="8" t="s">
        <v>1269</v>
      </c>
      <c r="B176" s="8" t="s">
        <v>1270</v>
      </c>
      <c r="C176" s="8" t="n">
        <v>2025</v>
      </c>
      <c r="D176" s="8" t="s">
        <v>58</v>
      </c>
      <c r="E176" s="8"/>
      <c r="F176" s="8" t="s">
        <v>782</v>
      </c>
      <c r="G176" s="8" t="s">
        <v>783</v>
      </c>
      <c r="H176" s="8" t="s">
        <v>784</v>
      </c>
    </row>
    <row r="177" customFormat="false" ht="15" hidden="false" customHeight="false" outlineLevel="0" collapsed="false">
      <c r="A177" s="8" t="s">
        <v>1271</v>
      </c>
      <c r="B177" s="8" t="s">
        <v>1272</v>
      </c>
      <c r="C177" s="8" t="n">
        <v>2025</v>
      </c>
      <c r="D177" s="8" t="s">
        <v>58</v>
      </c>
      <c r="E177" s="8" t="s">
        <v>1273</v>
      </c>
      <c r="F177" s="8" t="s">
        <v>782</v>
      </c>
      <c r="G177" s="8" t="s">
        <v>783</v>
      </c>
      <c r="H177" s="8" t="s">
        <v>861</v>
      </c>
    </row>
    <row r="178" customFormat="false" ht="15" hidden="false" customHeight="false" outlineLevel="0" collapsed="false">
      <c r="A178" s="8" t="s">
        <v>1274</v>
      </c>
      <c r="B178" s="8" t="s">
        <v>1275</v>
      </c>
      <c r="C178" s="8" t="n">
        <v>2025</v>
      </c>
      <c r="D178" s="8" t="s">
        <v>58</v>
      </c>
      <c r="E178" s="8" t="s">
        <v>1276</v>
      </c>
      <c r="F178" s="8" t="s">
        <v>782</v>
      </c>
      <c r="G178" s="8" t="s">
        <v>783</v>
      </c>
      <c r="H178" s="8" t="s">
        <v>784</v>
      </c>
    </row>
    <row r="179" customFormat="false" ht="15" hidden="false" customHeight="false" outlineLevel="0" collapsed="false">
      <c r="A179" s="8" t="s">
        <v>1277</v>
      </c>
      <c r="B179" s="8" t="s">
        <v>1278</v>
      </c>
      <c r="C179" s="8" t="n">
        <v>2024</v>
      </c>
      <c r="D179" s="8" t="s">
        <v>58</v>
      </c>
      <c r="E179" s="8" t="s">
        <v>1279</v>
      </c>
      <c r="F179" s="8" t="s">
        <v>782</v>
      </c>
      <c r="G179" s="8" t="s">
        <v>783</v>
      </c>
      <c r="H179" s="8" t="s">
        <v>784</v>
      </c>
    </row>
    <row r="180" customFormat="false" ht="15" hidden="false" customHeight="false" outlineLevel="0" collapsed="false">
      <c r="A180" s="8" t="s">
        <v>1280</v>
      </c>
      <c r="B180" s="8" t="s">
        <v>1281</v>
      </c>
      <c r="C180" s="8" t="n">
        <v>2026</v>
      </c>
      <c r="D180" s="8" t="s">
        <v>83</v>
      </c>
      <c r="E180" s="8" t="s">
        <v>1282</v>
      </c>
      <c r="F180" s="8" t="s">
        <v>782</v>
      </c>
      <c r="G180" s="8" t="s">
        <v>783</v>
      </c>
      <c r="H180" s="8" t="s">
        <v>784</v>
      </c>
    </row>
    <row r="181" customFormat="false" ht="15" hidden="false" customHeight="false" outlineLevel="0" collapsed="false">
      <c r="A181" s="8" t="s">
        <v>295</v>
      </c>
      <c r="B181" s="8" t="s">
        <v>297</v>
      </c>
      <c r="C181" s="8" t="n">
        <v>2024</v>
      </c>
      <c r="D181" s="8" t="s">
        <v>58</v>
      </c>
      <c r="E181" s="8"/>
      <c r="F181" s="8" t="s">
        <v>852</v>
      </c>
      <c r="G181" s="8" t="s">
        <v>853</v>
      </c>
      <c r="H181" s="8" t="s">
        <v>854</v>
      </c>
    </row>
    <row r="182" customFormat="false" ht="15" hidden="false" customHeight="false" outlineLevel="0" collapsed="false">
      <c r="A182" s="8" t="s">
        <v>1283</v>
      </c>
      <c r="B182" s="8" t="s">
        <v>1284</v>
      </c>
      <c r="C182" s="8" t="n">
        <v>2024</v>
      </c>
      <c r="D182" s="8" t="s">
        <v>58</v>
      </c>
      <c r="E182" s="8" t="s">
        <v>1285</v>
      </c>
      <c r="F182" s="8" t="s">
        <v>782</v>
      </c>
      <c r="G182" s="8" t="s">
        <v>783</v>
      </c>
      <c r="H182" s="8" t="s">
        <v>784</v>
      </c>
    </row>
    <row r="183" customFormat="false" ht="15" hidden="false" customHeight="false" outlineLevel="0" collapsed="false">
      <c r="A183" s="8" t="s">
        <v>1286</v>
      </c>
      <c r="B183" s="8" t="s">
        <v>1287</v>
      </c>
      <c r="C183" s="8" t="n">
        <v>2026</v>
      </c>
      <c r="D183" s="8" t="s">
        <v>58</v>
      </c>
      <c r="E183" s="8" t="s">
        <v>1288</v>
      </c>
      <c r="F183" s="8" t="s">
        <v>782</v>
      </c>
      <c r="G183" s="8" t="s">
        <v>783</v>
      </c>
      <c r="H183" s="8" t="s">
        <v>784</v>
      </c>
    </row>
    <row r="184" customFormat="false" ht="15" hidden="false" customHeight="false" outlineLevel="0" collapsed="false">
      <c r="A184" s="8" t="s">
        <v>1289</v>
      </c>
      <c r="B184" s="8" t="s">
        <v>1290</v>
      </c>
      <c r="C184" s="8" t="n">
        <v>2024</v>
      </c>
      <c r="D184" s="8" t="s">
        <v>58</v>
      </c>
      <c r="E184" s="8" t="s">
        <v>1291</v>
      </c>
      <c r="F184" s="8" t="s">
        <v>782</v>
      </c>
      <c r="G184" s="8" t="s">
        <v>783</v>
      </c>
      <c r="H184" s="8" t="s">
        <v>784</v>
      </c>
    </row>
    <row r="185" customFormat="false" ht="15" hidden="false" customHeight="false" outlineLevel="0" collapsed="false">
      <c r="A185" s="8" t="s">
        <v>70</v>
      </c>
      <c r="B185" s="8" t="s">
        <v>72</v>
      </c>
      <c r="C185" s="8" t="n">
        <v>2026</v>
      </c>
      <c r="D185" s="8" t="s">
        <v>74</v>
      </c>
      <c r="E185" s="8" t="s">
        <v>75</v>
      </c>
      <c r="F185" s="8" t="s">
        <v>852</v>
      </c>
      <c r="G185" s="8" t="s">
        <v>853</v>
      </c>
      <c r="H185" s="8" t="s">
        <v>854</v>
      </c>
    </row>
    <row r="186" customFormat="false" ht="15" hidden="false" customHeight="false" outlineLevel="0" collapsed="false">
      <c r="A186" s="8" t="s">
        <v>242</v>
      </c>
      <c r="B186" s="8" t="s">
        <v>244</v>
      </c>
      <c r="C186" s="8" t="n">
        <v>2025</v>
      </c>
      <c r="D186" s="8" t="s">
        <v>58</v>
      </c>
      <c r="E186" s="8" t="s">
        <v>246</v>
      </c>
      <c r="F186" s="8" t="s">
        <v>852</v>
      </c>
      <c r="G186" s="8" t="s">
        <v>853</v>
      </c>
      <c r="H186" s="8" t="s">
        <v>854</v>
      </c>
    </row>
    <row r="187" customFormat="false" ht="15" hidden="false" customHeight="false" outlineLevel="0" collapsed="false">
      <c r="A187" s="8" t="s">
        <v>1292</v>
      </c>
      <c r="B187" s="8" t="s">
        <v>1293</v>
      </c>
      <c r="C187" s="8" t="n">
        <v>2026</v>
      </c>
      <c r="D187" s="8" t="s">
        <v>58</v>
      </c>
      <c r="E187" s="8" t="s">
        <v>1294</v>
      </c>
      <c r="F187" s="8" t="s">
        <v>782</v>
      </c>
      <c r="G187" s="8" t="s">
        <v>801</v>
      </c>
      <c r="H187" s="8" t="s">
        <v>802</v>
      </c>
    </row>
    <row r="188" customFormat="false" ht="15" hidden="false" customHeight="false" outlineLevel="0" collapsed="false">
      <c r="A188" s="8" t="s">
        <v>1295</v>
      </c>
      <c r="B188" s="8" t="s">
        <v>1296</v>
      </c>
      <c r="C188" s="8" t="n">
        <v>2024</v>
      </c>
      <c r="D188" s="8" t="s">
        <v>83</v>
      </c>
      <c r="E188" s="8" t="s">
        <v>1297</v>
      </c>
      <c r="F188" s="8" t="s">
        <v>782</v>
      </c>
      <c r="G188" s="8" t="s">
        <v>783</v>
      </c>
      <c r="H188" s="8" t="s">
        <v>784</v>
      </c>
    </row>
    <row r="189" customFormat="false" ht="15" hidden="false" customHeight="false" outlineLevel="0" collapsed="false">
      <c r="A189" s="8" t="s">
        <v>1298</v>
      </c>
      <c r="B189" s="8" t="s">
        <v>1299</v>
      </c>
      <c r="C189" s="8" t="n">
        <v>2024</v>
      </c>
      <c r="D189" s="8" t="s">
        <v>58</v>
      </c>
      <c r="E189" s="8" t="s">
        <v>1300</v>
      </c>
      <c r="F189" s="8" t="s">
        <v>782</v>
      </c>
      <c r="G189" s="8" t="s">
        <v>783</v>
      </c>
      <c r="H189" s="8" t="s">
        <v>784</v>
      </c>
    </row>
    <row r="190" customFormat="false" ht="15" hidden="false" customHeight="false" outlineLevel="0" collapsed="false">
      <c r="A190" s="8" t="s">
        <v>1301</v>
      </c>
      <c r="B190" s="8" t="s">
        <v>1302</v>
      </c>
      <c r="C190" s="8" t="n">
        <v>2025</v>
      </c>
      <c r="D190" s="8" t="s">
        <v>58</v>
      </c>
      <c r="E190" s="8" t="s">
        <v>1303</v>
      </c>
      <c r="F190" s="8" t="s">
        <v>782</v>
      </c>
      <c r="G190" s="8" t="s">
        <v>783</v>
      </c>
      <c r="H190" s="8" t="s">
        <v>784</v>
      </c>
    </row>
    <row r="191" customFormat="false" ht="15" hidden="false" customHeight="false" outlineLevel="0" collapsed="false">
      <c r="A191" s="8" t="s">
        <v>1304</v>
      </c>
      <c r="B191" s="8" t="s">
        <v>1305</v>
      </c>
      <c r="C191" s="8" t="n">
        <v>2025</v>
      </c>
      <c r="D191" s="8" t="s">
        <v>58</v>
      </c>
      <c r="E191" s="8" t="s">
        <v>1306</v>
      </c>
      <c r="F191" s="8" t="s">
        <v>782</v>
      </c>
      <c r="G191" s="8" t="s">
        <v>783</v>
      </c>
      <c r="H191" s="8" t="s">
        <v>784</v>
      </c>
    </row>
    <row r="192" customFormat="false" ht="15" hidden="false" customHeight="false" outlineLevel="0" collapsed="false">
      <c r="A192" s="8" t="s">
        <v>203</v>
      </c>
      <c r="B192" s="8" t="s">
        <v>205</v>
      </c>
      <c r="C192" s="8" t="n">
        <v>2025</v>
      </c>
      <c r="D192" s="8" t="s">
        <v>58</v>
      </c>
      <c r="E192" s="8" t="s">
        <v>207</v>
      </c>
      <c r="F192" s="8" t="s">
        <v>852</v>
      </c>
      <c r="G192" s="8" t="s">
        <v>853</v>
      </c>
      <c r="H192" s="8" t="s">
        <v>854</v>
      </c>
    </row>
    <row r="193" customFormat="false" ht="15" hidden="false" customHeight="false" outlineLevel="0" collapsed="false">
      <c r="A193" s="8" t="s">
        <v>1307</v>
      </c>
      <c r="B193" s="8" t="s">
        <v>1308</v>
      </c>
      <c r="C193" s="8" t="n">
        <v>2025</v>
      </c>
      <c r="D193" s="8" t="s">
        <v>83</v>
      </c>
      <c r="E193" s="8" t="s">
        <v>1309</v>
      </c>
      <c r="F193" s="8" t="s">
        <v>782</v>
      </c>
      <c r="G193" s="8" t="s">
        <v>783</v>
      </c>
      <c r="H193" s="8" t="s">
        <v>784</v>
      </c>
    </row>
    <row r="194" customFormat="false" ht="15" hidden="false" customHeight="false" outlineLevel="0" collapsed="false">
      <c r="A194" s="8" t="s">
        <v>1310</v>
      </c>
      <c r="B194" s="8" t="s">
        <v>1311</v>
      </c>
      <c r="C194" s="8" t="n">
        <v>2024</v>
      </c>
      <c r="D194" s="8" t="s">
        <v>58</v>
      </c>
      <c r="E194" s="8" t="s">
        <v>1312</v>
      </c>
      <c r="F194" s="8" t="s">
        <v>782</v>
      </c>
      <c r="G194" s="8" t="s">
        <v>783</v>
      </c>
      <c r="H194" s="8" t="s">
        <v>861</v>
      </c>
    </row>
    <row r="195" customFormat="false" ht="15" hidden="false" customHeight="false" outlineLevel="0" collapsed="false">
      <c r="A195" s="8" t="s">
        <v>316</v>
      </c>
      <c r="B195" s="8" t="s">
        <v>318</v>
      </c>
      <c r="C195" s="8" t="n">
        <v>2024</v>
      </c>
      <c r="D195" s="8" t="s">
        <v>58</v>
      </c>
      <c r="E195" s="8"/>
      <c r="F195" s="8" t="s">
        <v>852</v>
      </c>
      <c r="G195" s="8" t="s">
        <v>853</v>
      </c>
      <c r="H195" s="8" t="s">
        <v>854</v>
      </c>
    </row>
    <row r="196" customFormat="false" ht="15" hidden="false" customHeight="false" outlineLevel="0" collapsed="false">
      <c r="A196" s="8" t="s">
        <v>1313</v>
      </c>
      <c r="B196" s="8" t="s">
        <v>1314</v>
      </c>
      <c r="C196" s="8" t="n">
        <v>2026</v>
      </c>
      <c r="D196" s="8" t="s">
        <v>58</v>
      </c>
      <c r="E196" s="8" t="s">
        <v>1315</v>
      </c>
      <c r="F196" s="8" t="s">
        <v>782</v>
      </c>
      <c r="G196" s="8" t="s">
        <v>783</v>
      </c>
      <c r="H196" s="8" t="s">
        <v>784</v>
      </c>
    </row>
    <row r="197" customFormat="false" ht="15" hidden="false" customHeight="false" outlineLevel="0" collapsed="false">
      <c r="A197" s="8" t="s">
        <v>1316</v>
      </c>
      <c r="B197" s="8" t="s">
        <v>1317</v>
      </c>
      <c r="C197" s="8" t="n">
        <v>2025</v>
      </c>
      <c r="D197" s="8" t="s">
        <v>58</v>
      </c>
      <c r="E197" s="8" t="s">
        <v>1318</v>
      </c>
      <c r="F197" s="8" t="s">
        <v>782</v>
      </c>
      <c r="G197" s="8" t="s">
        <v>783</v>
      </c>
      <c r="H197" s="8" t="s">
        <v>784</v>
      </c>
    </row>
    <row r="198" customFormat="false" ht="15" hidden="false" customHeight="false" outlineLevel="0" collapsed="false">
      <c r="A198" s="8" t="s">
        <v>1319</v>
      </c>
      <c r="B198" s="8" t="s">
        <v>1320</v>
      </c>
      <c r="C198" s="8" t="n">
        <v>2026</v>
      </c>
      <c r="D198" s="8" t="s">
        <v>83</v>
      </c>
      <c r="E198" s="8" t="s">
        <v>1321</v>
      </c>
      <c r="F198" s="8" t="s">
        <v>782</v>
      </c>
      <c r="G198" s="8" t="s">
        <v>783</v>
      </c>
      <c r="H198" s="8" t="s">
        <v>784</v>
      </c>
    </row>
    <row r="199" customFormat="false" ht="15" hidden="false" customHeight="false" outlineLevel="0" collapsed="false">
      <c r="A199" s="8" t="s">
        <v>1322</v>
      </c>
      <c r="B199" s="8" t="s">
        <v>1323</v>
      </c>
      <c r="C199" s="8" t="n">
        <v>2026</v>
      </c>
      <c r="D199" s="8" t="s">
        <v>83</v>
      </c>
      <c r="E199" s="8" t="s">
        <v>1324</v>
      </c>
      <c r="F199" s="8" t="s">
        <v>782</v>
      </c>
      <c r="G199" s="8" t="s">
        <v>821</v>
      </c>
      <c r="H199" s="8" t="s">
        <v>822</v>
      </c>
    </row>
    <row r="200" customFormat="false" ht="15" hidden="false" customHeight="false" outlineLevel="0" collapsed="false">
      <c r="A200" s="8" t="s">
        <v>1325</v>
      </c>
      <c r="B200" s="8" t="s">
        <v>1326</v>
      </c>
      <c r="C200" s="8" t="n">
        <v>2025</v>
      </c>
      <c r="D200" s="8" t="s">
        <v>58</v>
      </c>
      <c r="E200" s="8" t="s">
        <v>1327</v>
      </c>
      <c r="F200" s="8" t="s">
        <v>782</v>
      </c>
      <c r="G200" s="8" t="s">
        <v>783</v>
      </c>
      <c r="H200" s="8" t="s">
        <v>784</v>
      </c>
    </row>
    <row r="201" customFormat="false" ht="15" hidden="false" customHeight="false" outlineLevel="0" collapsed="false">
      <c r="A201" s="8" t="s">
        <v>1328</v>
      </c>
      <c r="B201" s="8" t="s">
        <v>1329</v>
      </c>
      <c r="C201" s="8" t="n">
        <v>2026</v>
      </c>
      <c r="D201" s="8" t="s">
        <v>58</v>
      </c>
      <c r="E201" s="8" t="s">
        <v>1330</v>
      </c>
      <c r="F201" s="8" t="s">
        <v>782</v>
      </c>
      <c r="G201" s="8" t="s">
        <v>783</v>
      </c>
      <c r="H201" s="8" t="s">
        <v>784</v>
      </c>
    </row>
    <row r="202" customFormat="false" ht="15" hidden="false" customHeight="false" outlineLevel="0" collapsed="false">
      <c r="A202" s="8" t="s">
        <v>1331</v>
      </c>
      <c r="B202" s="8" t="s">
        <v>1332</v>
      </c>
      <c r="C202" s="8" t="n">
        <v>2026</v>
      </c>
      <c r="D202" s="8" t="s">
        <v>74</v>
      </c>
      <c r="E202" s="8" t="s">
        <v>1333</v>
      </c>
      <c r="F202" s="8" t="s">
        <v>782</v>
      </c>
      <c r="G202" s="8" t="s">
        <v>895</v>
      </c>
      <c r="H202" s="8" t="s">
        <v>896</v>
      </c>
    </row>
    <row r="203" customFormat="false" ht="15" hidden="false" customHeight="false" outlineLevel="0" collapsed="false">
      <c r="A203" s="8" t="s">
        <v>1334</v>
      </c>
      <c r="B203" s="8" t="s">
        <v>1335</v>
      </c>
      <c r="C203" s="8" t="n">
        <v>2024</v>
      </c>
      <c r="D203" s="8" t="s">
        <v>90</v>
      </c>
      <c r="E203" s="8" t="s">
        <v>1336</v>
      </c>
      <c r="F203" s="8" t="s">
        <v>782</v>
      </c>
      <c r="G203" s="8" t="s">
        <v>783</v>
      </c>
      <c r="H203" s="8" t="s">
        <v>784</v>
      </c>
    </row>
    <row r="204" customFormat="false" ht="15" hidden="false" customHeight="false" outlineLevel="0" collapsed="false">
      <c r="A204" s="8" t="s">
        <v>1337</v>
      </c>
      <c r="B204" s="8" t="s">
        <v>1338</v>
      </c>
      <c r="C204" s="8" t="n">
        <v>2026</v>
      </c>
      <c r="D204" s="8" t="s">
        <v>83</v>
      </c>
      <c r="E204" s="8" t="s">
        <v>1339</v>
      </c>
      <c r="F204" s="8" t="s">
        <v>782</v>
      </c>
      <c r="G204" s="8" t="s">
        <v>783</v>
      </c>
      <c r="H204" s="8" t="s">
        <v>784</v>
      </c>
    </row>
    <row r="205" customFormat="false" ht="15" hidden="false" customHeight="false" outlineLevel="0" collapsed="false">
      <c r="A205" s="8" t="s">
        <v>1340</v>
      </c>
      <c r="B205" s="8" t="s">
        <v>1341</v>
      </c>
      <c r="C205" s="8" t="n">
        <v>2025</v>
      </c>
      <c r="D205" s="8" t="s">
        <v>58</v>
      </c>
      <c r="E205" s="8" t="s">
        <v>1342</v>
      </c>
      <c r="F205" s="8" t="s">
        <v>782</v>
      </c>
      <c r="G205" s="8" t="s">
        <v>895</v>
      </c>
      <c r="H205" s="8" t="s">
        <v>896</v>
      </c>
    </row>
    <row r="206" customFormat="false" ht="15" hidden="false" customHeight="false" outlineLevel="0" collapsed="false">
      <c r="A206" s="8" t="s">
        <v>1343</v>
      </c>
      <c r="B206" s="8" t="s">
        <v>1344</v>
      </c>
      <c r="C206" s="8" t="n">
        <v>2024</v>
      </c>
      <c r="D206" s="8" t="s">
        <v>83</v>
      </c>
      <c r="E206" s="8" t="s">
        <v>1345</v>
      </c>
      <c r="F206" s="8" t="s">
        <v>782</v>
      </c>
      <c r="G206" s="8" t="s">
        <v>783</v>
      </c>
      <c r="H206" s="8" t="s">
        <v>784</v>
      </c>
    </row>
    <row r="207" customFormat="false" ht="15" hidden="false" customHeight="false" outlineLevel="0" collapsed="false">
      <c r="A207" s="8" t="s">
        <v>1346</v>
      </c>
      <c r="B207" s="8" t="s">
        <v>1347</v>
      </c>
      <c r="C207" s="8" t="n">
        <v>2026</v>
      </c>
      <c r="D207" s="8" t="s">
        <v>83</v>
      </c>
      <c r="E207" s="8" t="s">
        <v>1348</v>
      </c>
      <c r="F207" s="8" t="s">
        <v>782</v>
      </c>
      <c r="G207" s="8" t="s">
        <v>783</v>
      </c>
      <c r="H207" s="8" t="s">
        <v>784</v>
      </c>
    </row>
    <row r="208" customFormat="false" ht="15" hidden="false" customHeight="false" outlineLevel="0" collapsed="false">
      <c r="A208" s="8" t="s">
        <v>260</v>
      </c>
      <c r="B208" s="8" t="s">
        <v>262</v>
      </c>
      <c r="C208" s="8" t="n">
        <v>2025</v>
      </c>
      <c r="D208" s="8" t="s">
        <v>83</v>
      </c>
      <c r="E208" s="8" t="s">
        <v>264</v>
      </c>
      <c r="F208" s="8" t="s">
        <v>852</v>
      </c>
      <c r="G208" s="8" t="s">
        <v>853</v>
      </c>
      <c r="H208" s="8" t="s">
        <v>854</v>
      </c>
    </row>
    <row r="209" customFormat="false" ht="15" hidden="false" customHeight="false" outlineLevel="0" collapsed="false">
      <c r="A209" s="8" t="s">
        <v>225</v>
      </c>
      <c r="B209" s="8" t="s">
        <v>227</v>
      </c>
      <c r="C209" s="8" t="n">
        <v>2025</v>
      </c>
      <c r="D209" s="8" t="s">
        <v>58</v>
      </c>
      <c r="E209" s="8" t="s">
        <v>229</v>
      </c>
      <c r="F209" s="8" t="s">
        <v>852</v>
      </c>
      <c r="G209" s="8" t="s">
        <v>853</v>
      </c>
      <c r="H209" s="8" t="s">
        <v>854</v>
      </c>
    </row>
    <row r="210" customFormat="false" ht="15" hidden="false" customHeight="false" outlineLevel="0" collapsed="false">
      <c r="A210" s="8" t="s">
        <v>1349</v>
      </c>
      <c r="B210" s="8" t="s">
        <v>1350</v>
      </c>
      <c r="C210" s="8" t="n">
        <v>2025</v>
      </c>
      <c r="D210" s="8" t="s">
        <v>58</v>
      </c>
      <c r="E210" s="8" t="s">
        <v>1351</v>
      </c>
      <c r="F210" s="8" t="s">
        <v>782</v>
      </c>
      <c r="G210" s="8" t="s">
        <v>783</v>
      </c>
      <c r="H210" s="8" t="s">
        <v>861</v>
      </c>
    </row>
    <row r="211" customFormat="false" ht="15" hidden="false" customHeight="false" outlineLevel="0" collapsed="false">
      <c r="A211" s="8" t="s">
        <v>197</v>
      </c>
      <c r="B211" s="8" t="s">
        <v>199</v>
      </c>
      <c r="C211" s="8" t="n">
        <v>2025</v>
      </c>
      <c r="D211" s="8" t="s">
        <v>58</v>
      </c>
      <c r="E211" s="8" t="s">
        <v>201</v>
      </c>
      <c r="F211" s="8" t="s">
        <v>852</v>
      </c>
      <c r="G211" s="8" t="s">
        <v>853</v>
      </c>
      <c r="H211" s="8" t="s">
        <v>854</v>
      </c>
    </row>
    <row r="212" customFormat="false" ht="15" hidden="false" customHeight="false" outlineLevel="0" collapsed="false">
      <c r="A212" s="8" t="s">
        <v>1352</v>
      </c>
      <c r="B212" s="8" t="s">
        <v>1353</v>
      </c>
      <c r="C212" s="8" t="n">
        <v>2025</v>
      </c>
      <c r="D212" s="8" t="s">
        <v>58</v>
      </c>
      <c r="E212" s="8" t="s">
        <v>1354</v>
      </c>
      <c r="F212" s="8" t="s">
        <v>782</v>
      </c>
      <c r="G212" s="8" t="s">
        <v>783</v>
      </c>
      <c r="H212" s="8" t="s">
        <v>784</v>
      </c>
    </row>
    <row r="213" customFormat="false" ht="15" hidden="false" customHeight="false" outlineLevel="0" collapsed="false">
      <c r="A213" s="8" t="s">
        <v>1355</v>
      </c>
      <c r="B213" s="8" t="s">
        <v>1356</v>
      </c>
      <c r="C213" s="8" t="n">
        <v>2026</v>
      </c>
      <c r="D213" s="8" t="s">
        <v>74</v>
      </c>
      <c r="E213" s="8" t="s">
        <v>1357</v>
      </c>
      <c r="F213" s="8" t="s">
        <v>782</v>
      </c>
      <c r="G213" s="8" t="s">
        <v>895</v>
      </c>
      <c r="H213" s="8" t="s">
        <v>896</v>
      </c>
    </row>
    <row r="214" customFormat="false" ht="15" hidden="false" customHeight="false" outlineLevel="0" collapsed="false">
      <c r="A214" s="8" t="s">
        <v>1358</v>
      </c>
      <c r="B214" s="8" t="s">
        <v>1359</v>
      </c>
      <c r="C214" s="8" t="n">
        <v>2026</v>
      </c>
      <c r="D214" s="8" t="s">
        <v>83</v>
      </c>
      <c r="E214" s="8" t="s">
        <v>1360</v>
      </c>
      <c r="F214" s="8" t="s">
        <v>782</v>
      </c>
      <c r="G214" s="8" t="s">
        <v>783</v>
      </c>
      <c r="H214" s="8" t="s">
        <v>784</v>
      </c>
    </row>
    <row r="215" customFormat="false" ht="15" hidden="false" customHeight="false" outlineLevel="0" collapsed="false">
      <c r="A215" s="8" t="s">
        <v>1361</v>
      </c>
      <c r="B215" s="8" t="s">
        <v>1362</v>
      </c>
      <c r="C215" s="8" t="n">
        <v>2024</v>
      </c>
      <c r="D215" s="8" t="s">
        <v>58</v>
      </c>
      <c r="E215" s="8" t="s">
        <v>1363</v>
      </c>
      <c r="F215" s="8" t="s">
        <v>782</v>
      </c>
      <c r="G215" s="8" t="s">
        <v>801</v>
      </c>
      <c r="H215" s="8" t="s">
        <v>802</v>
      </c>
    </row>
    <row r="216" customFormat="false" ht="15" hidden="false" customHeight="false" outlineLevel="0" collapsed="false">
      <c r="A216" s="8" t="s">
        <v>1364</v>
      </c>
      <c r="B216" s="8" t="s">
        <v>1365</v>
      </c>
      <c r="C216" s="8" t="n">
        <v>2026</v>
      </c>
      <c r="D216" s="8" t="s">
        <v>58</v>
      </c>
      <c r="E216" s="8" t="s">
        <v>1366</v>
      </c>
      <c r="F216" s="8" t="s">
        <v>782</v>
      </c>
      <c r="G216" s="8" t="s">
        <v>783</v>
      </c>
      <c r="H216" s="8" t="s">
        <v>784</v>
      </c>
    </row>
    <row r="217" customFormat="false" ht="15" hidden="false" customHeight="false" outlineLevel="0" collapsed="false">
      <c r="A217" s="8" t="s">
        <v>1367</v>
      </c>
      <c r="B217" s="8" t="s">
        <v>1368</v>
      </c>
      <c r="C217" s="8" t="n">
        <v>2026</v>
      </c>
      <c r="D217" s="8" t="s">
        <v>58</v>
      </c>
      <c r="E217" s="8" t="s">
        <v>1369</v>
      </c>
      <c r="F217" s="8" t="s">
        <v>782</v>
      </c>
      <c r="G217" s="8" t="s">
        <v>783</v>
      </c>
      <c r="H217" s="8" t="s">
        <v>861</v>
      </c>
    </row>
    <row r="218" customFormat="false" ht="15" hidden="false" customHeight="false" outlineLevel="0" collapsed="false">
      <c r="A218" s="8" t="s">
        <v>1370</v>
      </c>
      <c r="B218" s="8" t="s">
        <v>1371</v>
      </c>
      <c r="C218" s="8" t="n">
        <v>2025</v>
      </c>
      <c r="D218" s="8" t="s">
        <v>58</v>
      </c>
      <c r="E218" s="8" t="s">
        <v>1372</v>
      </c>
      <c r="F218" s="8" t="s">
        <v>782</v>
      </c>
      <c r="G218" s="8" t="s">
        <v>783</v>
      </c>
      <c r="H218" s="8" t="s">
        <v>784</v>
      </c>
    </row>
    <row r="219" customFormat="false" ht="15" hidden="false" customHeight="false" outlineLevel="0" collapsed="false">
      <c r="A219" s="8" t="s">
        <v>1373</v>
      </c>
      <c r="B219" s="8" t="s">
        <v>1374</v>
      </c>
      <c r="C219" s="8" t="n">
        <v>2025</v>
      </c>
      <c r="D219" s="8" t="s">
        <v>83</v>
      </c>
      <c r="E219" s="8" t="s">
        <v>1375</v>
      </c>
      <c r="F219" s="8" t="s">
        <v>782</v>
      </c>
      <c r="G219" s="8" t="s">
        <v>783</v>
      </c>
      <c r="H219" s="8" t="s">
        <v>784</v>
      </c>
    </row>
    <row r="220" customFormat="false" ht="15" hidden="false" customHeight="false" outlineLevel="0" collapsed="false">
      <c r="A220" s="8" t="s">
        <v>1376</v>
      </c>
      <c r="B220" s="8" t="s">
        <v>1377</v>
      </c>
      <c r="C220" s="8" t="n">
        <v>2024</v>
      </c>
      <c r="D220" s="8" t="s">
        <v>83</v>
      </c>
      <c r="E220" s="8" t="s">
        <v>1378</v>
      </c>
      <c r="F220" s="8" t="s">
        <v>782</v>
      </c>
      <c r="G220" s="8" t="s">
        <v>783</v>
      </c>
      <c r="H220" s="8" t="s">
        <v>784</v>
      </c>
    </row>
    <row r="221" customFormat="false" ht="15" hidden="false" customHeight="false" outlineLevel="0" collapsed="false">
      <c r="A221" s="8" t="s">
        <v>214</v>
      </c>
      <c r="B221" s="8" t="s">
        <v>216</v>
      </c>
      <c r="C221" s="8" t="n">
        <v>2025</v>
      </c>
      <c r="D221" s="8" t="s">
        <v>58</v>
      </c>
      <c r="E221" s="8" t="s">
        <v>218</v>
      </c>
      <c r="F221" s="8" t="s">
        <v>852</v>
      </c>
      <c r="G221" s="8" t="s">
        <v>853</v>
      </c>
      <c r="H221" s="8" t="s">
        <v>854</v>
      </c>
    </row>
    <row r="222" customFormat="false" ht="15" hidden="false" customHeight="false" outlineLevel="0" collapsed="false">
      <c r="A222" s="8" t="s">
        <v>149</v>
      </c>
      <c r="B222" s="8" t="s">
        <v>151</v>
      </c>
      <c r="C222" s="8" t="n">
        <v>2025</v>
      </c>
      <c r="D222" s="8" t="s">
        <v>58</v>
      </c>
      <c r="E222" s="8" t="s">
        <v>153</v>
      </c>
      <c r="F222" s="8" t="s">
        <v>852</v>
      </c>
      <c r="G222" s="8" t="s">
        <v>853</v>
      </c>
      <c r="H222" s="8" t="s">
        <v>854</v>
      </c>
    </row>
    <row r="223" customFormat="false" ht="15" hidden="false" customHeight="false" outlineLevel="0" collapsed="false">
      <c r="A223" s="8" t="s">
        <v>1379</v>
      </c>
      <c r="B223" s="8" t="s">
        <v>1380</v>
      </c>
      <c r="C223" s="8" t="n">
        <v>2024</v>
      </c>
      <c r="D223" s="8" t="s">
        <v>58</v>
      </c>
      <c r="E223" s="8" t="s">
        <v>1381</v>
      </c>
      <c r="F223" s="8" t="s">
        <v>782</v>
      </c>
      <c r="G223" s="8" t="s">
        <v>783</v>
      </c>
      <c r="H223" s="8" t="s">
        <v>784</v>
      </c>
    </row>
    <row r="224" customFormat="false" ht="15" hidden="false" customHeight="false" outlineLevel="0" collapsed="false">
      <c r="A224" s="8" t="s">
        <v>1382</v>
      </c>
      <c r="B224" s="8" t="s">
        <v>1383</v>
      </c>
      <c r="C224" s="8" t="n">
        <v>2024</v>
      </c>
      <c r="D224" s="8" t="s">
        <v>83</v>
      </c>
      <c r="E224" s="8" t="s">
        <v>1384</v>
      </c>
      <c r="F224" s="8" t="s">
        <v>782</v>
      </c>
      <c r="G224" s="8" t="s">
        <v>783</v>
      </c>
      <c r="H224" s="8" t="s">
        <v>784</v>
      </c>
    </row>
    <row r="225" customFormat="false" ht="15" hidden="false" customHeight="false" outlineLevel="0" collapsed="false">
      <c r="A225" s="8" t="s">
        <v>1385</v>
      </c>
      <c r="B225" s="8" t="s">
        <v>1386</v>
      </c>
      <c r="C225" s="8" t="n">
        <v>2026</v>
      </c>
      <c r="D225" s="8" t="s">
        <v>58</v>
      </c>
      <c r="E225" s="8" t="s">
        <v>1387</v>
      </c>
      <c r="F225" s="8" t="s">
        <v>782</v>
      </c>
      <c r="G225" s="8" t="s">
        <v>783</v>
      </c>
      <c r="H225" s="8" t="s">
        <v>784</v>
      </c>
    </row>
    <row r="226" customFormat="false" ht="15" hidden="false" customHeight="false" outlineLevel="0" collapsed="false">
      <c r="A226" s="8" t="s">
        <v>1388</v>
      </c>
      <c r="B226" s="8" t="s">
        <v>1389</v>
      </c>
      <c r="C226" s="8" t="n">
        <v>2024</v>
      </c>
      <c r="D226" s="8" t="s">
        <v>83</v>
      </c>
      <c r="E226" s="8" t="s">
        <v>1390</v>
      </c>
      <c r="F226" s="8" t="s">
        <v>782</v>
      </c>
      <c r="G226" s="8" t="s">
        <v>783</v>
      </c>
      <c r="H226" s="8" t="s">
        <v>784</v>
      </c>
    </row>
    <row r="227" customFormat="false" ht="15" hidden="false" customHeight="false" outlineLevel="0" collapsed="false">
      <c r="A227" s="8" t="s">
        <v>1391</v>
      </c>
      <c r="B227" s="8" t="s">
        <v>1392</v>
      </c>
      <c r="C227" s="8" t="n">
        <v>2025</v>
      </c>
      <c r="D227" s="8" t="s">
        <v>83</v>
      </c>
      <c r="E227" s="8" t="s">
        <v>1393</v>
      </c>
      <c r="F227" s="8" t="s">
        <v>782</v>
      </c>
      <c r="G227" s="8" t="s">
        <v>783</v>
      </c>
      <c r="H227" s="8" t="s">
        <v>784</v>
      </c>
    </row>
    <row r="228" customFormat="false" ht="15" hidden="false" customHeight="false" outlineLevel="0" collapsed="false">
      <c r="A228" s="8" t="s">
        <v>1394</v>
      </c>
      <c r="B228" s="8" t="s">
        <v>1395</v>
      </c>
      <c r="C228" s="8" t="n">
        <v>2024</v>
      </c>
      <c r="D228" s="8" t="s">
        <v>83</v>
      </c>
      <c r="E228" s="8" t="s">
        <v>1396</v>
      </c>
      <c r="F228" s="8" t="s">
        <v>782</v>
      </c>
      <c r="G228" s="8" t="s">
        <v>783</v>
      </c>
      <c r="H228" s="8" t="s">
        <v>861</v>
      </c>
    </row>
    <row r="229" customFormat="false" ht="15" hidden="false" customHeight="false" outlineLevel="0" collapsed="false">
      <c r="A229" s="8" t="s">
        <v>1397</v>
      </c>
      <c r="B229" s="8" t="s">
        <v>1398</v>
      </c>
      <c r="C229" s="8" t="n">
        <v>2024</v>
      </c>
      <c r="D229" s="8" t="s">
        <v>83</v>
      </c>
      <c r="E229" s="8" t="s">
        <v>1399</v>
      </c>
      <c r="F229" s="8" t="s">
        <v>782</v>
      </c>
      <c r="G229" s="8" t="s">
        <v>783</v>
      </c>
      <c r="H229" s="8" t="s">
        <v>784</v>
      </c>
    </row>
    <row r="230" customFormat="false" ht="15" hidden="false" customHeight="false" outlineLevel="0" collapsed="false">
      <c r="A230" s="8" t="s">
        <v>1400</v>
      </c>
      <c r="B230" s="8" t="s">
        <v>1401</v>
      </c>
      <c r="C230" s="8" t="n">
        <v>2025</v>
      </c>
      <c r="D230" s="8" t="s">
        <v>83</v>
      </c>
      <c r="E230" s="8" t="s">
        <v>1402</v>
      </c>
      <c r="F230" s="8" t="s">
        <v>782</v>
      </c>
      <c r="G230" s="8" t="s">
        <v>783</v>
      </c>
      <c r="H230" s="8" t="s">
        <v>784</v>
      </c>
    </row>
    <row r="231" customFormat="false" ht="15" hidden="false" customHeight="false" outlineLevel="0" collapsed="false">
      <c r="A231" s="8" t="s">
        <v>1403</v>
      </c>
      <c r="B231" s="8" t="s">
        <v>1404</v>
      </c>
      <c r="C231" s="8" t="n">
        <v>2026</v>
      </c>
      <c r="D231" s="8" t="s">
        <v>58</v>
      </c>
      <c r="E231" s="8" t="s">
        <v>1405</v>
      </c>
      <c r="F231" s="8" t="s">
        <v>782</v>
      </c>
      <c r="G231" s="8" t="s">
        <v>783</v>
      </c>
      <c r="H231" s="8" t="s">
        <v>784</v>
      </c>
    </row>
    <row r="232" customFormat="false" ht="15" hidden="false" customHeight="false" outlineLevel="0" collapsed="false">
      <c r="A232" s="8" t="s">
        <v>1406</v>
      </c>
      <c r="B232" s="8" t="s">
        <v>1407</v>
      </c>
      <c r="C232" s="8" t="n">
        <v>2025</v>
      </c>
      <c r="D232" s="8" t="s">
        <v>83</v>
      </c>
      <c r="E232" s="8" t="s">
        <v>1408</v>
      </c>
      <c r="F232" s="8" t="s">
        <v>782</v>
      </c>
      <c r="G232" s="8" t="s">
        <v>783</v>
      </c>
      <c r="H232" s="8" t="s">
        <v>861</v>
      </c>
    </row>
    <row r="233" customFormat="false" ht="15" hidden="false" customHeight="false" outlineLevel="0" collapsed="false">
      <c r="A233" s="8" t="s">
        <v>1409</v>
      </c>
      <c r="B233" s="8" t="s">
        <v>1410</v>
      </c>
      <c r="C233" s="8" t="n">
        <v>2024</v>
      </c>
      <c r="D233" s="8" t="s">
        <v>58</v>
      </c>
      <c r="E233" s="8" t="s">
        <v>1411</v>
      </c>
      <c r="F233" s="8" t="s">
        <v>782</v>
      </c>
      <c r="G233" s="8" t="s">
        <v>783</v>
      </c>
      <c r="H233" s="8" t="s">
        <v>784</v>
      </c>
    </row>
    <row r="234" customFormat="false" ht="15" hidden="false" customHeight="false" outlineLevel="0" collapsed="false">
      <c r="A234" s="8" t="s">
        <v>1412</v>
      </c>
      <c r="B234" s="8" t="s">
        <v>1413</v>
      </c>
      <c r="C234" s="8" t="n">
        <v>2025</v>
      </c>
      <c r="D234" s="8" t="s">
        <v>58</v>
      </c>
      <c r="E234" s="8" t="s">
        <v>1414</v>
      </c>
      <c r="F234" s="8" t="s">
        <v>782</v>
      </c>
      <c r="G234" s="8" t="s">
        <v>783</v>
      </c>
      <c r="H234" s="8" t="s">
        <v>784</v>
      </c>
    </row>
    <row r="235" customFormat="false" ht="15" hidden="false" customHeight="false" outlineLevel="0" collapsed="false">
      <c r="A235" s="8" t="s">
        <v>1415</v>
      </c>
      <c r="B235" s="8" t="s">
        <v>1416</v>
      </c>
      <c r="C235" s="8" t="n">
        <v>2023</v>
      </c>
      <c r="D235" s="8" t="s">
        <v>58</v>
      </c>
      <c r="E235" s="8" t="s">
        <v>1417</v>
      </c>
      <c r="F235" s="8" t="s">
        <v>782</v>
      </c>
      <c r="G235" s="8" t="s">
        <v>783</v>
      </c>
      <c r="H235" s="8" t="s">
        <v>861</v>
      </c>
    </row>
    <row r="236" customFormat="false" ht="15" hidden="false" customHeight="false" outlineLevel="0" collapsed="false">
      <c r="A236" s="8" t="s">
        <v>1418</v>
      </c>
      <c r="B236" s="8" t="s">
        <v>1419</v>
      </c>
      <c r="C236" s="8" t="n">
        <v>2025</v>
      </c>
      <c r="D236" s="8" t="s">
        <v>58</v>
      </c>
      <c r="E236" s="8" t="s">
        <v>1420</v>
      </c>
      <c r="F236" s="8" t="s">
        <v>782</v>
      </c>
      <c r="G236" s="8" t="s">
        <v>895</v>
      </c>
      <c r="H236" s="8" t="s">
        <v>896</v>
      </c>
    </row>
    <row r="237" customFormat="false" ht="15" hidden="false" customHeight="false" outlineLevel="0" collapsed="false">
      <c r="A237" s="8" t="s">
        <v>1421</v>
      </c>
      <c r="B237" s="8" t="s">
        <v>1422</v>
      </c>
      <c r="C237" s="8" t="n">
        <v>2024</v>
      </c>
      <c r="D237" s="8" t="s">
        <v>58</v>
      </c>
      <c r="E237" s="8" t="s">
        <v>1423</v>
      </c>
      <c r="F237" s="8" t="s">
        <v>782</v>
      </c>
      <c r="G237" s="8" t="s">
        <v>801</v>
      </c>
      <c r="H237" s="8" t="s">
        <v>915</v>
      </c>
    </row>
    <row r="238" customFormat="false" ht="15" hidden="false" customHeight="false" outlineLevel="0" collapsed="false">
      <c r="A238" s="8" t="s">
        <v>1424</v>
      </c>
      <c r="B238" s="8" t="s">
        <v>1425</v>
      </c>
      <c r="C238" s="8" t="n">
        <v>2024</v>
      </c>
      <c r="D238" s="8" t="s">
        <v>58</v>
      </c>
      <c r="E238" s="8" t="s">
        <v>1426</v>
      </c>
      <c r="F238" s="8" t="s">
        <v>782</v>
      </c>
      <c r="G238" s="8" t="s">
        <v>783</v>
      </c>
      <c r="H238" s="8" t="s">
        <v>784</v>
      </c>
    </row>
    <row r="239" customFormat="false" ht="15" hidden="false" customHeight="false" outlineLevel="0" collapsed="false">
      <c r="A239" s="8" t="s">
        <v>1427</v>
      </c>
      <c r="B239" s="8" t="s">
        <v>1428</v>
      </c>
      <c r="C239" s="8" t="n">
        <v>2025</v>
      </c>
      <c r="D239" s="8" t="s">
        <v>83</v>
      </c>
      <c r="E239" s="8" t="s">
        <v>1429</v>
      </c>
      <c r="F239" s="8" t="s">
        <v>782</v>
      </c>
      <c r="G239" s="8" t="s">
        <v>783</v>
      </c>
      <c r="H239" s="8" t="s">
        <v>784</v>
      </c>
    </row>
    <row r="240" customFormat="false" ht="15" hidden="false" customHeight="false" outlineLevel="0" collapsed="false">
      <c r="A240" s="8" t="s">
        <v>1430</v>
      </c>
      <c r="B240" s="8" t="s">
        <v>1431</v>
      </c>
      <c r="C240" s="8" t="n">
        <v>2024</v>
      </c>
      <c r="D240" s="8" t="s">
        <v>58</v>
      </c>
      <c r="E240" s="8" t="s">
        <v>1432</v>
      </c>
      <c r="F240" s="8" t="s">
        <v>782</v>
      </c>
      <c r="G240" s="8" t="s">
        <v>783</v>
      </c>
      <c r="H240" s="8" t="s">
        <v>784</v>
      </c>
    </row>
    <row r="241" customFormat="false" ht="15" hidden="false" customHeight="false" outlineLevel="0" collapsed="false">
      <c r="A241" s="8" t="s">
        <v>1433</v>
      </c>
      <c r="B241" s="8" t="s">
        <v>1434</v>
      </c>
      <c r="C241" s="8" t="n">
        <v>2025</v>
      </c>
      <c r="D241" s="8" t="s">
        <v>90</v>
      </c>
      <c r="E241" s="8" t="s">
        <v>1435</v>
      </c>
      <c r="F241" s="8" t="s">
        <v>782</v>
      </c>
      <c r="G241" s="8" t="s">
        <v>821</v>
      </c>
      <c r="H241" s="8" t="s">
        <v>822</v>
      </c>
    </row>
    <row r="242" customFormat="false" ht="15" hidden="false" customHeight="false" outlineLevel="0" collapsed="false">
      <c r="A242" s="8" t="s">
        <v>1436</v>
      </c>
      <c r="B242" s="8" t="s">
        <v>1437</v>
      </c>
      <c r="C242" s="8" t="n">
        <v>2025</v>
      </c>
      <c r="D242" s="8" t="s">
        <v>58</v>
      </c>
      <c r="E242" s="8" t="s">
        <v>1438</v>
      </c>
      <c r="F242" s="8" t="s">
        <v>782</v>
      </c>
      <c r="G242" s="8" t="s">
        <v>783</v>
      </c>
      <c r="H242" s="8" t="s">
        <v>861</v>
      </c>
    </row>
    <row r="243" customFormat="false" ht="15" hidden="false" customHeight="false" outlineLevel="0" collapsed="false">
      <c r="A243" s="8" t="s">
        <v>1439</v>
      </c>
      <c r="B243" s="8" t="s">
        <v>1440</v>
      </c>
      <c r="C243" s="8" t="n">
        <v>2023</v>
      </c>
      <c r="D243" s="8" t="s">
        <v>83</v>
      </c>
      <c r="E243" s="8" t="s">
        <v>1441</v>
      </c>
      <c r="F243" s="8" t="s">
        <v>782</v>
      </c>
      <c r="G243" s="8" t="s">
        <v>783</v>
      </c>
      <c r="H243" s="8" t="s">
        <v>861</v>
      </c>
    </row>
    <row r="244" customFormat="false" ht="15" hidden="false" customHeight="false" outlineLevel="0" collapsed="false">
      <c r="A244" s="8" t="s">
        <v>1442</v>
      </c>
      <c r="B244" s="8" t="s">
        <v>1443</v>
      </c>
      <c r="C244" s="8" t="n">
        <v>2025</v>
      </c>
      <c r="D244" s="8" t="s">
        <v>58</v>
      </c>
      <c r="E244" s="8" t="s">
        <v>1444</v>
      </c>
      <c r="F244" s="8" t="s">
        <v>782</v>
      </c>
      <c r="G244" s="8" t="s">
        <v>783</v>
      </c>
      <c r="H244" s="8" t="s">
        <v>861</v>
      </c>
    </row>
    <row r="245" customFormat="false" ht="15" hidden="false" customHeight="false" outlineLevel="0" collapsed="false">
      <c r="A245" s="8" t="s">
        <v>1445</v>
      </c>
      <c r="B245" s="8" t="s">
        <v>1446</v>
      </c>
      <c r="C245" s="8" t="n">
        <v>2024</v>
      </c>
      <c r="D245" s="8" t="s">
        <v>58</v>
      </c>
      <c r="E245" s="8" t="s">
        <v>1447</v>
      </c>
      <c r="F245" s="8" t="s">
        <v>782</v>
      </c>
      <c r="G245" s="8" t="s">
        <v>801</v>
      </c>
      <c r="H245" s="8" t="s">
        <v>802</v>
      </c>
    </row>
    <row r="246" customFormat="false" ht="15" hidden="false" customHeight="false" outlineLevel="0" collapsed="false">
      <c r="A246" s="8" t="s">
        <v>1448</v>
      </c>
      <c r="B246" s="8" t="s">
        <v>1449</v>
      </c>
      <c r="C246" s="8" t="n">
        <v>2024</v>
      </c>
      <c r="D246" s="8" t="s">
        <v>58</v>
      </c>
      <c r="E246" s="8"/>
      <c r="F246" s="8" t="s">
        <v>782</v>
      </c>
      <c r="G246" s="8" t="s">
        <v>895</v>
      </c>
      <c r="H246" s="8" t="s">
        <v>896</v>
      </c>
    </row>
    <row r="247" customFormat="false" ht="15" hidden="false" customHeight="false" outlineLevel="0" collapsed="false">
      <c r="A247" s="8" t="s">
        <v>1450</v>
      </c>
      <c r="B247" s="8" t="s">
        <v>1451</v>
      </c>
      <c r="C247" s="8" t="n">
        <v>2026</v>
      </c>
      <c r="D247" s="8" t="s">
        <v>58</v>
      </c>
      <c r="E247" s="8" t="s">
        <v>1452</v>
      </c>
      <c r="F247" s="8" t="s">
        <v>782</v>
      </c>
      <c r="G247" s="8" t="s">
        <v>783</v>
      </c>
      <c r="H247" s="8" t="s">
        <v>784</v>
      </c>
    </row>
    <row r="248" customFormat="false" ht="15" hidden="false" customHeight="false" outlineLevel="0" collapsed="false">
      <c r="A248" s="8" t="s">
        <v>1453</v>
      </c>
      <c r="B248" s="8" t="s">
        <v>1454</v>
      </c>
      <c r="C248" s="8" t="n">
        <v>2026</v>
      </c>
      <c r="D248" s="8" t="s">
        <v>58</v>
      </c>
      <c r="E248" s="8" t="s">
        <v>1455</v>
      </c>
      <c r="F248" s="8" t="s">
        <v>782</v>
      </c>
      <c r="G248" s="8" t="s">
        <v>783</v>
      </c>
      <c r="H248" s="8" t="s">
        <v>784</v>
      </c>
    </row>
    <row r="249" customFormat="false" ht="15" hidden="false" customHeight="false" outlineLevel="0" collapsed="false">
      <c r="A249" s="8" t="s">
        <v>1456</v>
      </c>
      <c r="B249" s="8" t="s">
        <v>1457</v>
      </c>
      <c r="C249" s="8" t="n">
        <v>2023</v>
      </c>
      <c r="D249" s="8" t="s">
        <v>83</v>
      </c>
      <c r="E249" s="8" t="s">
        <v>1458</v>
      </c>
      <c r="F249" s="8" t="s">
        <v>782</v>
      </c>
      <c r="G249" s="8" t="s">
        <v>801</v>
      </c>
      <c r="H249" s="8" t="s">
        <v>802</v>
      </c>
    </row>
    <row r="250" customFormat="false" ht="15" hidden="false" customHeight="false" outlineLevel="0" collapsed="false">
      <c r="A250" s="8" t="s">
        <v>288</v>
      </c>
      <c r="B250" s="8" t="s">
        <v>290</v>
      </c>
      <c r="C250" s="8" t="n">
        <v>2024</v>
      </c>
      <c r="D250" s="8" t="s">
        <v>83</v>
      </c>
      <c r="E250" s="8" t="s">
        <v>292</v>
      </c>
      <c r="F250" s="8" t="s">
        <v>852</v>
      </c>
      <c r="G250" s="8" t="s">
        <v>853</v>
      </c>
      <c r="H250" s="8" t="s">
        <v>854</v>
      </c>
    </row>
    <row r="251" customFormat="false" ht="15" hidden="false" customHeight="false" outlineLevel="0" collapsed="false">
      <c r="A251" s="8" t="s">
        <v>1459</v>
      </c>
      <c r="B251" s="8" t="s">
        <v>1460</v>
      </c>
      <c r="C251" s="8" t="n">
        <v>2025</v>
      </c>
      <c r="D251" s="8" t="s">
        <v>58</v>
      </c>
      <c r="E251" s="8" t="s">
        <v>1461</v>
      </c>
      <c r="F251" s="8" t="s">
        <v>782</v>
      </c>
      <c r="G251" s="8" t="s">
        <v>801</v>
      </c>
      <c r="H251" s="8" t="s">
        <v>802</v>
      </c>
    </row>
    <row r="252" customFormat="false" ht="15" hidden="false" customHeight="false" outlineLevel="0" collapsed="false">
      <c r="A252" s="8" t="s">
        <v>1462</v>
      </c>
      <c r="B252" s="8" t="s">
        <v>1463</v>
      </c>
      <c r="C252" s="8" t="n">
        <v>2024</v>
      </c>
      <c r="D252" s="8" t="s">
        <v>83</v>
      </c>
      <c r="E252" s="8" t="s">
        <v>1464</v>
      </c>
      <c r="F252" s="8" t="s">
        <v>782</v>
      </c>
      <c r="G252" s="8" t="s">
        <v>783</v>
      </c>
      <c r="H252" s="8" t="s">
        <v>784</v>
      </c>
    </row>
    <row r="253" customFormat="false" ht="15" hidden="false" customHeight="false" outlineLevel="0" collapsed="false">
      <c r="A253" s="8" t="s">
        <v>1465</v>
      </c>
      <c r="B253" s="8" t="s">
        <v>1466</v>
      </c>
      <c r="C253" s="8" t="n">
        <v>2025</v>
      </c>
      <c r="D253" s="8" t="s">
        <v>58</v>
      </c>
      <c r="E253" s="8" t="s">
        <v>1467</v>
      </c>
      <c r="F253" s="8" t="s">
        <v>782</v>
      </c>
      <c r="G253" s="8" t="s">
        <v>783</v>
      </c>
      <c r="H253" s="8" t="s">
        <v>784</v>
      </c>
    </row>
    <row r="254" customFormat="false" ht="15" hidden="false" customHeight="false" outlineLevel="0" collapsed="false">
      <c r="A254" s="8" t="s">
        <v>1468</v>
      </c>
      <c r="B254" s="8" t="s">
        <v>1469</v>
      </c>
      <c r="C254" s="8" t="n">
        <v>2024</v>
      </c>
      <c r="D254" s="8" t="s">
        <v>58</v>
      </c>
      <c r="E254" s="8" t="s">
        <v>1470</v>
      </c>
      <c r="F254" s="8" t="s">
        <v>782</v>
      </c>
      <c r="G254" s="8" t="s">
        <v>783</v>
      </c>
      <c r="H254" s="8" t="s">
        <v>784</v>
      </c>
    </row>
    <row r="255" customFormat="false" ht="15" hidden="false" customHeight="false" outlineLevel="0" collapsed="false">
      <c r="A255" s="8" t="s">
        <v>1471</v>
      </c>
      <c r="B255" s="8" t="s">
        <v>1472</v>
      </c>
      <c r="C255" s="8" t="n">
        <v>2024</v>
      </c>
      <c r="D255" s="8" t="s">
        <v>58</v>
      </c>
      <c r="E255" s="8" t="s">
        <v>1473</v>
      </c>
      <c r="F255" s="8" t="s">
        <v>782</v>
      </c>
      <c r="G255" s="8" t="s">
        <v>783</v>
      </c>
      <c r="H255" s="8" t="s">
        <v>784</v>
      </c>
    </row>
    <row r="256" customFormat="false" ht="15" hidden="false" customHeight="false" outlineLevel="0" collapsed="false">
      <c r="A256" s="8" t="s">
        <v>1474</v>
      </c>
      <c r="B256" s="8" t="s">
        <v>1475</v>
      </c>
      <c r="C256" s="8" t="n">
        <v>2025</v>
      </c>
      <c r="D256" s="8" t="s">
        <v>58</v>
      </c>
      <c r="E256" s="8" t="s">
        <v>1476</v>
      </c>
      <c r="F256" s="8" t="s">
        <v>782</v>
      </c>
      <c r="G256" s="8" t="s">
        <v>783</v>
      </c>
      <c r="H256" s="8" t="s">
        <v>784</v>
      </c>
    </row>
    <row r="257" customFormat="false" ht="15" hidden="false" customHeight="false" outlineLevel="0" collapsed="false">
      <c r="A257" s="8" t="s">
        <v>1477</v>
      </c>
      <c r="B257" s="8" t="s">
        <v>1478</v>
      </c>
      <c r="C257" s="8" t="n">
        <v>2025</v>
      </c>
      <c r="D257" s="8" t="s">
        <v>58</v>
      </c>
      <c r="E257" s="8" t="s">
        <v>1479</v>
      </c>
      <c r="F257" s="8" t="s">
        <v>782</v>
      </c>
      <c r="G257" s="8" t="s">
        <v>783</v>
      </c>
      <c r="H257" s="8" t="s">
        <v>784</v>
      </c>
    </row>
    <row r="258" customFormat="false" ht="15" hidden="false" customHeight="false" outlineLevel="0" collapsed="false">
      <c r="A258" s="8" t="s">
        <v>389</v>
      </c>
      <c r="B258" s="8" t="s">
        <v>391</v>
      </c>
      <c r="C258" s="8" t="n">
        <v>2023</v>
      </c>
      <c r="D258" s="8" t="s">
        <v>83</v>
      </c>
      <c r="E258" s="8" t="s">
        <v>392</v>
      </c>
      <c r="F258" s="8" t="s">
        <v>852</v>
      </c>
      <c r="G258" s="8" t="s">
        <v>853</v>
      </c>
      <c r="H258" s="8" t="s">
        <v>854</v>
      </c>
    </row>
    <row r="259" customFormat="false" ht="15" hidden="false" customHeight="false" outlineLevel="0" collapsed="false">
      <c r="A259" s="8" t="s">
        <v>1480</v>
      </c>
      <c r="B259" s="8" t="s">
        <v>1481</v>
      </c>
      <c r="C259" s="8" t="n">
        <v>2025</v>
      </c>
      <c r="D259" s="8" t="s">
        <v>58</v>
      </c>
      <c r="E259" s="8" t="s">
        <v>1482</v>
      </c>
      <c r="F259" s="8" t="s">
        <v>782</v>
      </c>
      <c r="G259" s="8" t="s">
        <v>783</v>
      </c>
      <c r="H259" s="8" t="s">
        <v>784</v>
      </c>
    </row>
    <row r="260" customFormat="false" ht="15" hidden="false" customHeight="false" outlineLevel="0" collapsed="false">
      <c r="A260" s="8" t="s">
        <v>1483</v>
      </c>
      <c r="B260" s="8" t="s">
        <v>1484</v>
      </c>
      <c r="C260" s="8" t="n">
        <v>2024</v>
      </c>
      <c r="D260" s="8" t="s">
        <v>58</v>
      </c>
      <c r="E260" s="8" t="s">
        <v>1485</v>
      </c>
      <c r="F260" s="8" t="s">
        <v>782</v>
      </c>
      <c r="G260" s="8" t="s">
        <v>783</v>
      </c>
      <c r="H260" s="8" t="s">
        <v>784</v>
      </c>
    </row>
    <row r="261" customFormat="false" ht="15" hidden="false" customHeight="false" outlineLevel="0" collapsed="false">
      <c r="A261" s="8" t="s">
        <v>1486</v>
      </c>
      <c r="B261" s="8" t="s">
        <v>1487</v>
      </c>
      <c r="C261" s="8" t="n">
        <v>2025</v>
      </c>
      <c r="D261" s="8" t="s">
        <v>58</v>
      </c>
      <c r="E261" s="8" t="s">
        <v>1488</v>
      </c>
      <c r="F261" s="8" t="s">
        <v>782</v>
      </c>
      <c r="G261" s="8" t="s">
        <v>895</v>
      </c>
      <c r="H261" s="8" t="s">
        <v>896</v>
      </c>
    </row>
    <row r="262" customFormat="false" ht="15" hidden="false" customHeight="false" outlineLevel="0" collapsed="false">
      <c r="A262" s="8" t="s">
        <v>1489</v>
      </c>
      <c r="B262" s="8" t="s">
        <v>1490</v>
      </c>
      <c r="C262" s="8" t="n">
        <v>2024</v>
      </c>
      <c r="D262" s="8" t="s">
        <v>83</v>
      </c>
      <c r="E262" s="8" t="s">
        <v>1491</v>
      </c>
      <c r="F262" s="8" t="s">
        <v>782</v>
      </c>
      <c r="G262" s="8" t="s">
        <v>783</v>
      </c>
      <c r="H262" s="8" t="s">
        <v>784</v>
      </c>
    </row>
    <row r="263" customFormat="false" ht="15" hidden="false" customHeight="false" outlineLevel="0" collapsed="false">
      <c r="A263" s="8" t="s">
        <v>1492</v>
      </c>
      <c r="B263" s="8" t="s">
        <v>1493</v>
      </c>
      <c r="C263" s="8" t="n">
        <v>2025</v>
      </c>
      <c r="D263" s="8" t="s">
        <v>58</v>
      </c>
      <c r="E263" s="8" t="s">
        <v>1494</v>
      </c>
      <c r="F263" s="8" t="s">
        <v>782</v>
      </c>
      <c r="G263" s="8" t="s">
        <v>783</v>
      </c>
      <c r="H263" s="8" t="s">
        <v>784</v>
      </c>
    </row>
    <row r="264" customFormat="false" ht="15" hidden="false" customHeight="false" outlineLevel="0" collapsed="false">
      <c r="A264" s="8" t="s">
        <v>1495</v>
      </c>
      <c r="B264" s="8" t="s">
        <v>1496</v>
      </c>
      <c r="C264" s="8" t="n">
        <v>2024</v>
      </c>
      <c r="D264" s="8" t="s">
        <v>58</v>
      </c>
      <c r="E264" s="8" t="s">
        <v>1497</v>
      </c>
      <c r="F264" s="8" t="s">
        <v>782</v>
      </c>
      <c r="G264" s="8" t="s">
        <v>783</v>
      </c>
      <c r="H264" s="8" t="s">
        <v>861</v>
      </c>
    </row>
    <row r="265" customFormat="false" ht="15" hidden="false" customHeight="false" outlineLevel="0" collapsed="false">
      <c r="A265" s="8" t="s">
        <v>1498</v>
      </c>
      <c r="B265" s="8" t="s">
        <v>1499</v>
      </c>
      <c r="C265" s="8" t="n">
        <v>2025</v>
      </c>
      <c r="D265" s="8" t="s">
        <v>58</v>
      </c>
      <c r="E265" s="8" t="s">
        <v>1500</v>
      </c>
      <c r="F265" s="8" t="s">
        <v>782</v>
      </c>
      <c r="G265" s="8" t="s">
        <v>783</v>
      </c>
      <c r="H265" s="8" t="s">
        <v>861</v>
      </c>
    </row>
    <row r="266" customFormat="false" ht="15" hidden="false" customHeight="false" outlineLevel="0" collapsed="false">
      <c r="A266" s="8" t="s">
        <v>1501</v>
      </c>
      <c r="B266" s="8" t="s">
        <v>1502</v>
      </c>
      <c r="C266" s="8" t="n">
        <v>2025</v>
      </c>
      <c r="D266" s="8" t="s">
        <v>58</v>
      </c>
      <c r="E266" s="8" t="s">
        <v>1503</v>
      </c>
      <c r="F266" s="8" t="s">
        <v>782</v>
      </c>
      <c r="G266" s="8" t="s">
        <v>783</v>
      </c>
      <c r="H266" s="8" t="s">
        <v>784</v>
      </c>
    </row>
    <row r="267" customFormat="false" ht="15" hidden="false" customHeight="false" outlineLevel="0" collapsed="false">
      <c r="A267" s="8" t="s">
        <v>1504</v>
      </c>
      <c r="B267" s="8" t="s">
        <v>1505</v>
      </c>
      <c r="C267" s="8" t="n">
        <v>2024</v>
      </c>
      <c r="D267" s="8" t="s">
        <v>58</v>
      </c>
      <c r="E267" s="8" t="s">
        <v>1506</v>
      </c>
      <c r="F267" s="8" t="s">
        <v>782</v>
      </c>
      <c r="G267" s="8" t="s">
        <v>783</v>
      </c>
      <c r="H267" s="8" t="s">
        <v>861</v>
      </c>
    </row>
    <row r="268" customFormat="false" ht="15" hidden="false" customHeight="false" outlineLevel="0" collapsed="false">
      <c r="A268" s="8" t="s">
        <v>1507</v>
      </c>
      <c r="B268" s="8" t="s">
        <v>1508</v>
      </c>
      <c r="C268" s="8" t="n">
        <v>2025</v>
      </c>
      <c r="D268" s="8" t="s">
        <v>90</v>
      </c>
      <c r="E268" s="8" t="s">
        <v>1509</v>
      </c>
      <c r="F268" s="8" t="s">
        <v>782</v>
      </c>
      <c r="G268" s="8" t="s">
        <v>783</v>
      </c>
      <c r="H268" s="8" t="s">
        <v>784</v>
      </c>
    </row>
    <row r="269" customFormat="false" ht="15" hidden="false" customHeight="false" outlineLevel="0" collapsed="false">
      <c r="A269" s="8" t="s">
        <v>1510</v>
      </c>
      <c r="B269" s="8" t="s">
        <v>1511</v>
      </c>
      <c r="C269" s="8" t="n">
        <v>2025</v>
      </c>
      <c r="D269" s="8" t="s">
        <v>58</v>
      </c>
      <c r="E269" s="8" t="s">
        <v>1512</v>
      </c>
      <c r="F269" s="8" t="s">
        <v>782</v>
      </c>
      <c r="G269" s="8" t="s">
        <v>783</v>
      </c>
      <c r="H269" s="8" t="s">
        <v>784</v>
      </c>
    </row>
    <row r="270" customFormat="false" ht="15" hidden="false" customHeight="false" outlineLevel="0" collapsed="false">
      <c r="A270" s="8" t="s">
        <v>1513</v>
      </c>
      <c r="B270" s="8" t="s">
        <v>1514</v>
      </c>
      <c r="C270" s="8" t="n">
        <v>2024</v>
      </c>
      <c r="D270" s="8" t="s">
        <v>90</v>
      </c>
      <c r="E270" s="8" t="s">
        <v>1515</v>
      </c>
      <c r="F270" s="8" t="s">
        <v>782</v>
      </c>
      <c r="G270" s="8" t="s">
        <v>821</v>
      </c>
      <c r="H270" s="8" t="s">
        <v>822</v>
      </c>
    </row>
    <row r="271" customFormat="false" ht="15" hidden="false" customHeight="false" outlineLevel="0" collapsed="false">
      <c r="A271" s="8" t="s">
        <v>1516</v>
      </c>
      <c r="B271" s="8" t="s">
        <v>1517</v>
      </c>
      <c r="C271" s="8" t="n">
        <v>2026</v>
      </c>
      <c r="D271" s="8" t="s">
        <v>83</v>
      </c>
      <c r="E271" s="8" t="s">
        <v>1518</v>
      </c>
      <c r="F271" s="8" t="s">
        <v>782</v>
      </c>
      <c r="G271" s="8" t="s">
        <v>783</v>
      </c>
      <c r="H271" s="8" t="s">
        <v>784</v>
      </c>
    </row>
    <row r="272" customFormat="false" ht="15" hidden="false" customHeight="false" outlineLevel="0" collapsed="false">
      <c r="A272" s="8" t="s">
        <v>1519</v>
      </c>
      <c r="B272" s="8" t="s">
        <v>1520</v>
      </c>
      <c r="C272" s="8" t="n">
        <v>2025</v>
      </c>
      <c r="D272" s="8" t="s">
        <v>58</v>
      </c>
      <c r="E272" s="8" t="s">
        <v>1521</v>
      </c>
      <c r="F272" s="8" t="s">
        <v>782</v>
      </c>
      <c r="G272" s="8" t="s">
        <v>783</v>
      </c>
      <c r="H272" s="8" t="s">
        <v>861</v>
      </c>
    </row>
    <row r="273" customFormat="false" ht="15" hidden="false" customHeight="false" outlineLevel="0" collapsed="false">
      <c r="A273" s="8" t="s">
        <v>1522</v>
      </c>
      <c r="B273" s="8" t="s">
        <v>1523</v>
      </c>
      <c r="C273" s="8" t="n">
        <v>2025</v>
      </c>
      <c r="D273" s="8" t="s">
        <v>83</v>
      </c>
      <c r="E273" s="8" t="s">
        <v>1524</v>
      </c>
      <c r="F273" s="8" t="s">
        <v>782</v>
      </c>
      <c r="G273" s="8" t="s">
        <v>783</v>
      </c>
      <c r="H273" s="8" t="s">
        <v>784</v>
      </c>
    </row>
    <row r="274" customFormat="false" ht="15" hidden="false" customHeight="false" outlineLevel="0" collapsed="false">
      <c r="A274" s="8" t="s">
        <v>1525</v>
      </c>
      <c r="B274" s="8" t="s">
        <v>1526</v>
      </c>
      <c r="C274" s="8" t="n">
        <v>2024</v>
      </c>
      <c r="D274" s="8" t="s">
        <v>58</v>
      </c>
      <c r="E274" s="8" t="s">
        <v>1527</v>
      </c>
      <c r="F274" s="8" t="s">
        <v>782</v>
      </c>
      <c r="G274" s="8" t="s">
        <v>801</v>
      </c>
      <c r="H274" s="8" t="s">
        <v>802</v>
      </c>
    </row>
    <row r="275" customFormat="false" ht="15" hidden="false" customHeight="false" outlineLevel="0" collapsed="false">
      <c r="A275" s="8" t="s">
        <v>1528</v>
      </c>
      <c r="B275" s="8" t="s">
        <v>1529</v>
      </c>
      <c r="C275" s="8" t="n">
        <v>2025</v>
      </c>
      <c r="D275" s="8" t="s">
        <v>83</v>
      </c>
      <c r="E275" s="8" t="s">
        <v>1530</v>
      </c>
      <c r="F275" s="8" t="s">
        <v>782</v>
      </c>
      <c r="G275" s="8" t="s">
        <v>895</v>
      </c>
      <c r="H275" s="8" t="s">
        <v>896</v>
      </c>
    </row>
    <row r="276" customFormat="false" ht="15" hidden="false" customHeight="false" outlineLevel="0" collapsed="false">
      <c r="A276" s="8" t="s">
        <v>1531</v>
      </c>
      <c r="B276" s="8" t="s">
        <v>1532</v>
      </c>
      <c r="C276" s="8" t="n">
        <v>2025</v>
      </c>
      <c r="D276" s="8" t="s">
        <v>58</v>
      </c>
      <c r="E276" s="8" t="s">
        <v>1533</v>
      </c>
      <c r="F276" s="8" t="s">
        <v>782</v>
      </c>
      <c r="G276" s="8" t="s">
        <v>783</v>
      </c>
      <c r="H276" s="8" t="s">
        <v>784</v>
      </c>
    </row>
    <row r="277" customFormat="false" ht="15" hidden="false" customHeight="false" outlineLevel="0" collapsed="false">
      <c r="A277" s="8" t="s">
        <v>1534</v>
      </c>
      <c r="B277" s="8" t="s">
        <v>1535</v>
      </c>
      <c r="C277" s="8" t="n">
        <v>2025</v>
      </c>
      <c r="D277" s="8" t="s">
        <v>58</v>
      </c>
      <c r="E277" s="8" t="s">
        <v>1536</v>
      </c>
      <c r="F277" s="8" t="s">
        <v>782</v>
      </c>
      <c r="G277" s="8" t="s">
        <v>783</v>
      </c>
      <c r="H277" s="8" t="s">
        <v>784</v>
      </c>
    </row>
    <row r="278" customFormat="false" ht="15" hidden="false" customHeight="false" outlineLevel="0" collapsed="false">
      <c r="A278" s="8" t="s">
        <v>1537</v>
      </c>
      <c r="B278" s="8" t="s">
        <v>1538</v>
      </c>
      <c r="C278" s="8" t="n">
        <v>2024</v>
      </c>
      <c r="D278" s="8" t="s">
        <v>58</v>
      </c>
      <c r="E278" s="8" t="s">
        <v>1539</v>
      </c>
      <c r="F278" s="8" t="s">
        <v>782</v>
      </c>
      <c r="G278" s="8" t="s">
        <v>783</v>
      </c>
      <c r="H278" s="8" t="s">
        <v>784</v>
      </c>
    </row>
    <row r="279" customFormat="false" ht="15" hidden="false" customHeight="false" outlineLevel="0" collapsed="false">
      <c r="A279" s="8" t="s">
        <v>1540</v>
      </c>
      <c r="B279" s="8" t="s">
        <v>1541</v>
      </c>
      <c r="C279" s="8" t="n">
        <v>2025</v>
      </c>
      <c r="D279" s="8" t="s">
        <v>58</v>
      </c>
      <c r="E279" s="8" t="s">
        <v>1542</v>
      </c>
      <c r="F279" s="8" t="s">
        <v>782</v>
      </c>
      <c r="G279" s="8" t="s">
        <v>783</v>
      </c>
      <c r="H279" s="8" t="s">
        <v>784</v>
      </c>
    </row>
    <row r="280" customFormat="false" ht="15" hidden="false" customHeight="false" outlineLevel="0" collapsed="false">
      <c r="A280" s="8" t="s">
        <v>86</v>
      </c>
      <c r="B280" s="8" t="s">
        <v>88</v>
      </c>
      <c r="C280" s="8" t="n">
        <v>2026</v>
      </c>
      <c r="D280" s="8" t="s">
        <v>90</v>
      </c>
      <c r="E280" s="8" t="s">
        <v>91</v>
      </c>
      <c r="F280" s="8" t="s">
        <v>852</v>
      </c>
      <c r="G280" s="8" t="s">
        <v>853</v>
      </c>
      <c r="H280" s="8" t="s">
        <v>854</v>
      </c>
    </row>
    <row r="281" customFormat="false" ht="15" hidden="false" customHeight="false" outlineLevel="0" collapsed="false">
      <c r="A281" s="8" t="s">
        <v>1543</v>
      </c>
      <c r="B281" s="8" t="s">
        <v>1544</v>
      </c>
      <c r="C281" s="8" t="n">
        <v>2024</v>
      </c>
      <c r="D281" s="8" t="s">
        <v>58</v>
      </c>
      <c r="E281" s="8" t="s">
        <v>1545</v>
      </c>
      <c r="F281" s="8" t="s">
        <v>782</v>
      </c>
      <c r="G281" s="8" t="s">
        <v>783</v>
      </c>
      <c r="H281" s="8" t="s">
        <v>784</v>
      </c>
    </row>
    <row r="282" customFormat="false" ht="15" hidden="false" customHeight="false" outlineLevel="0" collapsed="false">
      <c r="A282" s="8" t="s">
        <v>1546</v>
      </c>
      <c r="B282" s="8" t="s">
        <v>1547</v>
      </c>
      <c r="C282" s="8" t="n">
        <v>2025</v>
      </c>
      <c r="D282" s="8" t="s">
        <v>58</v>
      </c>
      <c r="E282" s="8" t="s">
        <v>1548</v>
      </c>
      <c r="F282" s="8" t="s">
        <v>782</v>
      </c>
      <c r="G282" s="8" t="s">
        <v>783</v>
      </c>
      <c r="H282" s="8" t="s">
        <v>784</v>
      </c>
    </row>
    <row r="283" customFormat="false" ht="15" hidden="false" customHeight="false" outlineLevel="0" collapsed="false">
      <c r="A283" s="8" t="s">
        <v>1549</v>
      </c>
      <c r="B283" s="8" t="s">
        <v>1550</v>
      </c>
      <c r="C283" s="8" t="n">
        <v>2024</v>
      </c>
      <c r="D283" s="8" t="s">
        <v>83</v>
      </c>
      <c r="E283" s="8" t="s">
        <v>1551</v>
      </c>
      <c r="F283" s="8" t="s">
        <v>782</v>
      </c>
      <c r="G283" s="8" t="s">
        <v>783</v>
      </c>
      <c r="H283" s="8" t="s">
        <v>784</v>
      </c>
    </row>
    <row r="284" customFormat="false" ht="15" hidden="false" customHeight="false" outlineLevel="0" collapsed="false">
      <c r="A284" s="8" t="s">
        <v>1552</v>
      </c>
      <c r="B284" s="8" t="s">
        <v>1553</v>
      </c>
      <c r="C284" s="8" t="n">
        <v>2023</v>
      </c>
      <c r="D284" s="8" t="s">
        <v>83</v>
      </c>
      <c r="E284" s="8" t="s">
        <v>1554</v>
      </c>
      <c r="F284" s="8" t="s">
        <v>782</v>
      </c>
      <c r="G284" s="8" t="s">
        <v>783</v>
      </c>
      <c r="H284" s="8" t="s">
        <v>784</v>
      </c>
    </row>
    <row r="285" customFormat="false" ht="15" hidden="false" customHeight="false" outlineLevel="0" collapsed="false">
      <c r="A285" s="8" t="s">
        <v>1555</v>
      </c>
      <c r="B285" s="8" t="s">
        <v>1556</v>
      </c>
      <c r="C285" s="8" t="n">
        <v>2026</v>
      </c>
      <c r="D285" s="8" t="s">
        <v>90</v>
      </c>
      <c r="E285" s="8" t="s">
        <v>1557</v>
      </c>
      <c r="F285" s="8" t="s">
        <v>782</v>
      </c>
      <c r="G285" s="8" t="s">
        <v>783</v>
      </c>
      <c r="H285" s="8" t="s">
        <v>784</v>
      </c>
    </row>
    <row r="286" customFormat="false" ht="15" hidden="false" customHeight="false" outlineLevel="0" collapsed="false">
      <c r="A286" s="8" t="s">
        <v>1558</v>
      </c>
      <c r="B286" s="8" t="s">
        <v>1559</v>
      </c>
      <c r="C286" s="8" t="n">
        <v>2024</v>
      </c>
      <c r="D286" s="8" t="s">
        <v>58</v>
      </c>
      <c r="E286" s="8" t="s">
        <v>1560</v>
      </c>
      <c r="F286" s="8" t="s">
        <v>782</v>
      </c>
      <c r="G286" s="8" t="s">
        <v>783</v>
      </c>
      <c r="H286" s="8" t="s">
        <v>784</v>
      </c>
    </row>
    <row r="287" customFormat="false" ht="15" hidden="false" customHeight="false" outlineLevel="0" collapsed="false">
      <c r="A287" s="8" t="s">
        <v>1561</v>
      </c>
      <c r="B287" s="8" t="s">
        <v>1562</v>
      </c>
      <c r="C287" s="8" t="n">
        <v>2024</v>
      </c>
      <c r="D287" s="8" t="s">
        <v>58</v>
      </c>
      <c r="E287" s="8" t="s">
        <v>1563</v>
      </c>
      <c r="F287" s="8" t="s">
        <v>782</v>
      </c>
      <c r="G287" s="8" t="s">
        <v>783</v>
      </c>
      <c r="H287" s="8" t="s">
        <v>784</v>
      </c>
    </row>
    <row r="288" customFormat="false" ht="15" hidden="false" customHeight="false" outlineLevel="0" collapsed="false">
      <c r="A288" s="8" t="s">
        <v>1564</v>
      </c>
      <c r="B288" s="8" t="s">
        <v>1565</v>
      </c>
      <c r="C288" s="8" t="n">
        <v>2024</v>
      </c>
      <c r="D288" s="8" t="s">
        <v>58</v>
      </c>
      <c r="E288" s="8" t="s">
        <v>1566</v>
      </c>
      <c r="F288" s="8" t="s">
        <v>782</v>
      </c>
      <c r="G288" s="8" t="s">
        <v>788</v>
      </c>
      <c r="H288" s="8" t="s">
        <v>789</v>
      </c>
    </row>
    <row r="289" customFormat="false" ht="15" hidden="false" customHeight="false" outlineLevel="0" collapsed="false">
      <c r="A289" s="8" t="s">
        <v>1567</v>
      </c>
      <c r="B289" s="8" t="s">
        <v>1568</v>
      </c>
      <c r="C289" s="8" t="n">
        <v>2025</v>
      </c>
      <c r="D289" s="8" t="s">
        <v>58</v>
      </c>
      <c r="E289" s="8" t="s">
        <v>1569</v>
      </c>
      <c r="F289" s="8" t="s">
        <v>782</v>
      </c>
      <c r="G289" s="8" t="s">
        <v>788</v>
      </c>
      <c r="H289" s="8" t="s">
        <v>789</v>
      </c>
    </row>
    <row r="290" customFormat="false" ht="15" hidden="false" customHeight="false" outlineLevel="0" collapsed="false">
      <c r="A290" s="8" t="s">
        <v>1570</v>
      </c>
      <c r="B290" s="8" t="s">
        <v>1571</v>
      </c>
      <c r="C290" s="8" t="n">
        <v>2025</v>
      </c>
      <c r="D290" s="8" t="s">
        <v>58</v>
      </c>
      <c r="E290" s="8" t="s">
        <v>1572</v>
      </c>
      <c r="F290" s="8" t="s">
        <v>782</v>
      </c>
      <c r="G290" s="8" t="s">
        <v>783</v>
      </c>
      <c r="H290" s="8" t="s">
        <v>784</v>
      </c>
    </row>
    <row r="291" customFormat="false" ht="15" hidden="false" customHeight="false" outlineLevel="0" collapsed="false">
      <c r="A291" s="8" t="s">
        <v>1573</v>
      </c>
      <c r="B291" s="8" t="s">
        <v>1574</v>
      </c>
      <c r="C291" s="8" t="n">
        <v>2025</v>
      </c>
      <c r="D291" s="8" t="s">
        <v>58</v>
      </c>
      <c r="E291" s="8"/>
      <c r="F291" s="8" t="s">
        <v>782</v>
      </c>
      <c r="G291" s="8" t="s">
        <v>783</v>
      </c>
      <c r="H291" s="8" t="s">
        <v>784</v>
      </c>
    </row>
    <row r="292" customFormat="false" ht="15" hidden="false" customHeight="false" outlineLevel="0" collapsed="false">
      <c r="A292" s="8" t="s">
        <v>1575</v>
      </c>
      <c r="B292" s="8" t="s">
        <v>1576</v>
      </c>
      <c r="C292" s="8" t="n">
        <v>2025</v>
      </c>
      <c r="D292" s="8" t="s">
        <v>83</v>
      </c>
      <c r="E292" s="8" t="s">
        <v>1577</v>
      </c>
      <c r="F292" s="8" t="s">
        <v>782</v>
      </c>
      <c r="G292" s="8" t="s">
        <v>783</v>
      </c>
      <c r="H292" s="8" t="s">
        <v>784</v>
      </c>
    </row>
    <row r="293" customFormat="false" ht="15" hidden="false" customHeight="false" outlineLevel="0" collapsed="false">
      <c r="A293" s="8" t="s">
        <v>1578</v>
      </c>
      <c r="B293" s="8" t="s">
        <v>1579</v>
      </c>
      <c r="C293" s="8" t="n">
        <v>2025</v>
      </c>
      <c r="D293" s="8" t="s">
        <v>83</v>
      </c>
      <c r="E293" s="8" t="s">
        <v>1580</v>
      </c>
      <c r="F293" s="8" t="s">
        <v>782</v>
      </c>
      <c r="G293" s="8" t="s">
        <v>783</v>
      </c>
      <c r="H293" s="8" t="s">
        <v>784</v>
      </c>
    </row>
    <row r="294" customFormat="false" ht="15" hidden="false" customHeight="false" outlineLevel="0" collapsed="false">
      <c r="A294" s="8" t="s">
        <v>1581</v>
      </c>
      <c r="B294" s="8" t="s">
        <v>1582</v>
      </c>
      <c r="C294" s="8" t="n">
        <v>2025</v>
      </c>
      <c r="D294" s="8" t="s">
        <v>58</v>
      </c>
      <c r="E294" s="8" t="s">
        <v>1583</v>
      </c>
      <c r="F294" s="8" t="s">
        <v>782</v>
      </c>
      <c r="G294" s="8" t="s">
        <v>788</v>
      </c>
      <c r="H294" s="8" t="s">
        <v>789</v>
      </c>
    </row>
    <row r="295" customFormat="false" ht="15" hidden="false" customHeight="false" outlineLevel="0" collapsed="false">
      <c r="A295" s="8" t="s">
        <v>1584</v>
      </c>
      <c r="B295" s="8" t="s">
        <v>1585</v>
      </c>
      <c r="C295" s="8" t="n">
        <v>2024</v>
      </c>
      <c r="D295" s="8" t="s">
        <v>83</v>
      </c>
      <c r="E295" s="8" t="s">
        <v>1586</v>
      </c>
      <c r="F295" s="8" t="s">
        <v>782</v>
      </c>
      <c r="G295" s="8" t="s">
        <v>783</v>
      </c>
      <c r="H295" s="8" t="s">
        <v>784</v>
      </c>
    </row>
    <row r="296" customFormat="false" ht="15" hidden="false" customHeight="false" outlineLevel="0" collapsed="false">
      <c r="A296" s="8" t="s">
        <v>1587</v>
      </c>
      <c r="B296" s="8" t="s">
        <v>1588</v>
      </c>
      <c r="C296" s="8" t="n">
        <v>2025</v>
      </c>
      <c r="D296" s="8" t="s">
        <v>58</v>
      </c>
      <c r="E296" s="8" t="s">
        <v>1589</v>
      </c>
      <c r="F296" s="8" t="s">
        <v>782</v>
      </c>
      <c r="G296" s="8" t="s">
        <v>966</v>
      </c>
      <c r="H296" s="8" t="s">
        <v>967</v>
      </c>
    </row>
    <row r="297" customFormat="false" ht="15" hidden="false" customHeight="false" outlineLevel="0" collapsed="false">
      <c r="A297" s="8" t="s">
        <v>1590</v>
      </c>
      <c r="B297" s="8" t="s">
        <v>1591</v>
      </c>
      <c r="C297" s="8" t="n">
        <v>2025</v>
      </c>
      <c r="D297" s="8" t="s">
        <v>58</v>
      </c>
      <c r="E297" s="8" t="s">
        <v>1592</v>
      </c>
      <c r="F297" s="8" t="s">
        <v>782</v>
      </c>
      <c r="G297" s="8" t="s">
        <v>783</v>
      </c>
      <c r="H297" s="8" t="s">
        <v>784</v>
      </c>
    </row>
    <row r="298" customFormat="false" ht="15" hidden="false" customHeight="false" outlineLevel="0" collapsed="false">
      <c r="A298" s="8" t="s">
        <v>1593</v>
      </c>
      <c r="B298" s="8" t="s">
        <v>1594</v>
      </c>
      <c r="C298" s="8" t="n">
        <v>2024</v>
      </c>
      <c r="D298" s="8" t="s">
        <v>58</v>
      </c>
      <c r="E298" s="8" t="s">
        <v>1595</v>
      </c>
      <c r="F298" s="8" t="s">
        <v>782</v>
      </c>
      <c r="G298" s="8" t="s">
        <v>783</v>
      </c>
      <c r="H298" s="8" t="s">
        <v>784</v>
      </c>
    </row>
    <row r="299" customFormat="false" ht="15" hidden="false" customHeight="false" outlineLevel="0" collapsed="false">
      <c r="A299" s="8" t="s">
        <v>1596</v>
      </c>
      <c r="B299" s="8" t="s">
        <v>1597</v>
      </c>
      <c r="C299" s="8" t="n">
        <v>2026</v>
      </c>
      <c r="D299" s="8" t="s">
        <v>58</v>
      </c>
      <c r="E299" s="8" t="s">
        <v>1598</v>
      </c>
      <c r="F299" s="8" t="s">
        <v>782</v>
      </c>
      <c r="G299" s="8" t="s">
        <v>783</v>
      </c>
      <c r="H299" s="8" t="s">
        <v>784</v>
      </c>
    </row>
    <row r="300" customFormat="false" ht="15" hidden="false" customHeight="false" outlineLevel="0" collapsed="false">
      <c r="A300" s="8" t="s">
        <v>1599</v>
      </c>
      <c r="B300" s="8" t="s">
        <v>1600</v>
      </c>
      <c r="C300" s="8" t="n">
        <v>2023</v>
      </c>
      <c r="D300" s="8" t="s">
        <v>83</v>
      </c>
      <c r="E300" s="8" t="s">
        <v>1601</v>
      </c>
      <c r="F300" s="8" t="s">
        <v>782</v>
      </c>
      <c r="G300" s="8" t="s">
        <v>895</v>
      </c>
      <c r="H300" s="8" t="s">
        <v>896</v>
      </c>
    </row>
    <row r="301" customFormat="false" ht="15" hidden="false" customHeight="false" outlineLevel="0" collapsed="false">
      <c r="A301" s="8" t="s">
        <v>1602</v>
      </c>
      <c r="B301" s="8" t="s">
        <v>1603</v>
      </c>
      <c r="C301" s="8" t="n">
        <v>2025</v>
      </c>
      <c r="D301" s="8" t="s">
        <v>58</v>
      </c>
      <c r="E301" s="8" t="s">
        <v>1604</v>
      </c>
      <c r="F301" s="8" t="s">
        <v>782</v>
      </c>
      <c r="G301" s="8" t="s">
        <v>783</v>
      </c>
      <c r="H301" s="8" t="s">
        <v>784</v>
      </c>
    </row>
    <row r="302" customFormat="false" ht="15" hidden="false" customHeight="false" outlineLevel="0" collapsed="false">
      <c r="A302" s="8" t="s">
        <v>1605</v>
      </c>
      <c r="B302" s="8" t="s">
        <v>1606</v>
      </c>
      <c r="C302" s="8" t="n">
        <v>2025</v>
      </c>
      <c r="D302" s="8" t="s">
        <v>83</v>
      </c>
      <c r="E302" s="8" t="s">
        <v>1607</v>
      </c>
      <c r="F302" s="8" t="s">
        <v>782</v>
      </c>
      <c r="G302" s="8" t="s">
        <v>783</v>
      </c>
      <c r="H302" s="8" t="s">
        <v>784</v>
      </c>
    </row>
    <row r="303" customFormat="false" ht="15" hidden="false" customHeight="false" outlineLevel="0" collapsed="false">
      <c r="A303" s="8" t="s">
        <v>119</v>
      </c>
      <c r="B303" s="8" t="s">
        <v>121</v>
      </c>
      <c r="C303" s="8" t="n">
        <v>2026</v>
      </c>
      <c r="D303" s="8" t="s">
        <v>83</v>
      </c>
      <c r="E303" s="8" t="s">
        <v>123</v>
      </c>
      <c r="F303" s="8" t="s">
        <v>852</v>
      </c>
      <c r="G303" s="8" t="s">
        <v>853</v>
      </c>
      <c r="H303" s="8" t="s">
        <v>854</v>
      </c>
    </row>
    <row r="304" customFormat="false" ht="15" hidden="false" customHeight="false" outlineLevel="0" collapsed="false">
      <c r="A304" s="8" t="s">
        <v>1608</v>
      </c>
      <c r="B304" s="8" t="s">
        <v>1609</v>
      </c>
      <c r="C304" s="8" t="n">
        <v>2025</v>
      </c>
      <c r="D304" s="8" t="s">
        <v>58</v>
      </c>
      <c r="E304" s="8" t="s">
        <v>1610</v>
      </c>
      <c r="F304" s="8" t="s">
        <v>782</v>
      </c>
      <c r="G304" s="8" t="s">
        <v>783</v>
      </c>
      <c r="H304" s="8" t="s">
        <v>784</v>
      </c>
    </row>
    <row r="305" customFormat="false" ht="15" hidden="false" customHeight="false" outlineLevel="0" collapsed="false">
      <c r="A305" s="8" t="s">
        <v>1611</v>
      </c>
      <c r="B305" s="8" t="s">
        <v>1612</v>
      </c>
      <c r="C305" s="8" t="n">
        <v>2025</v>
      </c>
      <c r="D305" s="8" t="s">
        <v>58</v>
      </c>
      <c r="E305" s="8" t="s">
        <v>1613</v>
      </c>
      <c r="F305" s="8" t="s">
        <v>782</v>
      </c>
      <c r="G305" s="8" t="s">
        <v>783</v>
      </c>
      <c r="H305" s="8" t="s">
        <v>861</v>
      </c>
    </row>
    <row r="306" customFormat="false" ht="15" hidden="false" customHeight="false" outlineLevel="0" collapsed="false">
      <c r="A306" s="8" t="s">
        <v>1614</v>
      </c>
      <c r="B306" s="8" t="s">
        <v>1615</v>
      </c>
      <c r="C306" s="8" t="n">
        <v>2024</v>
      </c>
      <c r="D306" s="8" t="s">
        <v>58</v>
      </c>
      <c r="E306" s="8" t="s">
        <v>1616</v>
      </c>
      <c r="F306" s="8" t="s">
        <v>782</v>
      </c>
      <c r="G306" s="8" t="s">
        <v>788</v>
      </c>
      <c r="H306" s="8" t="s">
        <v>789</v>
      </c>
    </row>
    <row r="307" customFormat="false" ht="15" hidden="false" customHeight="false" outlineLevel="0" collapsed="false">
      <c r="A307" s="8" t="s">
        <v>1617</v>
      </c>
      <c r="B307" s="8" t="s">
        <v>1618</v>
      </c>
      <c r="C307" s="8" t="n">
        <v>2024</v>
      </c>
      <c r="D307" s="8" t="s">
        <v>58</v>
      </c>
      <c r="E307" s="8" t="s">
        <v>1619</v>
      </c>
      <c r="F307" s="8" t="s">
        <v>782</v>
      </c>
      <c r="G307" s="8" t="s">
        <v>783</v>
      </c>
      <c r="H307" s="8" t="s">
        <v>784</v>
      </c>
    </row>
    <row r="308" customFormat="false" ht="15" hidden="false" customHeight="false" outlineLevel="0" collapsed="false">
      <c r="A308" s="8" t="s">
        <v>1620</v>
      </c>
      <c r="B308" s="8" t="s">
        <v>1621</v>
      </c>
      <c r="C308" s="8" t="n">
        <v>2026</v>
      </c>
      <c r="D308" s="8" t="s">
        <v>58</v>
      </c>
      <c r="E308" s="8" t="s">
        <v>1622</v>
      </c>
      <c r="F308" s="8" t="s">
        <v>782</v>
      </c>
      <c r="G308" s="8" t="s">
        <v>783</v>
      </c>
      <c r="H308" s="8" t="s">
        <v>784</v>
      </c>
    </row>
    <row r="309" customFormat="false" ht="15" hidden="false" customHeight="false" outlineLevel="0" collapsed="false">
      <c r="A309" s="8" t="s">
        <v>1623</v>
      </c>
      <c r="B309" s="8" t="s">
        <v>1624</v>
      </c>
      <c r="C309" s="8" t="n">
        <v>2026</v>
      </c>
      <c r="D309" s="8" t="s">
        <v>58</v>
      </c>
      <c r="E309" s="8" t="s">
        <v>1625</v>
      </c>
      <c r="F309" s="8" t="s">
        <v>782</v>
      </c>
      <c r="G309" s="8" t="s">
        <v>783</v>
      </c>
      <c r="H309" s="8" t="s">
        <v>784</v>
      </c>
    </row>
    <row r="310" customFormat="false" ht="15" hidden="false" customHeight="false" outlineLevel="0" collapsed="false">
      <c r="A310" s="8" t="s">
        <v>1626</v>
      </c>
      <c r="B310" s="8" t="s">
        <v>1627</v>
      </c>
      <c r="C310" s="8" t="n">
        <v>2025</v>
      </c>
      <c r="D310" s="8" t="s">
        <v>83</v>
      </c>
      <c r="E310" s="8" t="s">
        <v>1628</v>
      </c>
      <c r="F310" s="8" t="s">
        <v>782</v>
      </c>
      <c r="G310" s="8" t="s">
        <v>783</v>
      </c>
      <c r="H310" s="8" t="s">
        <v>784</v>
      </c>
    </row>
    <row r="311" customFormat="false" ht="15" hidden="false" customHeight="false" outlineLevel="0" collapsed="false">
      <c r="A311" s="8" t="s">
        <v>1629</v>
      </c>
      <c r="B311" s="8" t="s">
        <v>1630</v>
      </c>
      <c r="C311" s="8" t="n">
        <v>2025</v>
      </c>
      <c r="D311" s="8" t="s">
        <v>58</v>
      </c>
      <c r="E311" s="8" t="s">
        <v>1631</v>
      </c>
      <c r="F311" s="8" t="s">
        <v>782</v>
      </c>
      <c r="G311" s="8" t="s">
        <v>895</v>
      </c>
      <c r="H311" s="8" t="s">
        <v>896</v>
      </c>
    </row>
    <row r="312" customFormat="false" ht="15" hidden="false" customHeight="false" outlineLevel="0" collapsed="false">
      <c r="A312" s="8" t="s">
        <v>1632</v>
      </c>
      <c r="B312" s="8" t="s">
        <v>1633</v>
      </c>
      <c r="C312" s="8" t="n">
        <v>2025</v>
      </c>
      <c r="D312" s="8" t="s">
        <v>83</v>
      </c>
      <c r="E312" s="8" t="s">
        <v>1634</v>
      </c>
      <c r="F312" s="8" t="s">
        <v>782</v>
      </c>
      <c r="G312" s="8" t="s">
        <v>783</v>
      </c>
      <c r="H312" s="8" t="s">
        <v>784</v>
      </c>
    </row>
    <row r="313" customFormat="false" ht="15" hidden="false" customHeight="false" outlineLevel="0" collapsed="false">
      <c r="A313" s="8" t="s">
        <v>1635</v>
      </c>
      <c r="B313" s="8" t="s">
        <v>1636</v>
      </c>
      <c r="C313" s="8" t="n">
        <v>2025</v>
      </c>
      <c r="D313" s="8" t="s">
        <v>58</v>
      </c>
      <c r="E313" s="8" t="s">
        <v>1637</v>
      </c>
      <c r="F313" s="8" t="s">
        <v>782</v>
      </c>
      <c r="G313" s="8" t="s">
        <v>783</v>
      </c>
      <c r="H313" s="8" t="s">
        <v>784</v>
      </c>
    </row>
    <row r="314" customFormat="false" ht="15" hidden="false" customHeight="false" outlineLevel="0" collapsed="false">
      <c r="A314" s="8" t="s">
        <v>1638</v>
      </c>
      <c r="B314" s="8" t="s">
        <v>1639</v>
      </c>
      <c r="C314" s="8" t="n">
        <v>2026</v>
      </c>
      <c r="D314" s="8" t="s">
        <v>83</v>
      </c>
      <c r="E314" s="8" t="s">
        <v>1640</v>
      </c>
      <c r="F314" s="8" t="s">
        <v>782</v>
      </c>
      <c r="G314" s="8" t="s">
        <v>783</v>
      </c>
      <c r="H314" s="8" t="s">
        <v>784</v>
      </c>
    </row>
    <row r="315" customFormat="false" ht="15" hidden="false" customHeight="false" outlineLevel="0" collapsed="false">
      <c r="A315" s="8" t="s">
        <v>1641</v>
      </c>
      <c r="B315" s="8" t="s">
        <v>1642</v>
      </c>
      <c r="C315" s="8" t="n">
        <v>2025</v>
      </c>
      <c r="D315" s="8" t="s">
        <v>58</v>
      </c>
      <c r="E315" s="8" t="s">
        <v>1643</v>
      </c>
      <c r="F315" s="8" t="s">
        <v>782</v>
      </c>
      <c r="G315" s="8" t="s">
        <v>783</v>
      </c>
      <c r="H315" s="8" t="s">
        <v>784</v>
      </c>
    </row>
    <row r="316" customFormat="false" ht="15" hidden="false" customHeight="false" outlineLevel="0" collapsed="false">
      <c r="A316" s="8" t="s">
        <v>1644</v>
      </c>
      <c r="B316" s="8" t="s">
        <v>1645</v>
      </c>
      <c r="C316" s="8" t="n">
        <v>2024</v>
      </c>
      <c r="D316" s="8" t="s">
        <v>58</v>
      </c>
      <c r="E316" s="8" t="s">
        <v>1646</v>
      </c>
      <c r="F316" s="8" t="s">
        <v>782</v>
      </c>
      <c r="G316" s="8" t="s">
        <v>783</v>
      </c>
      <c r="H316" s="8" t="s">
        <v>784</v>
      </c>
    </row>
    <row r="317" customFormat="false" ht="15" hidden="false" customHeight="false" outlineLevel="0" collapsed="false">
      <c r="A317" s="8" t="s">
        <v>311</v>
      </c>
      <c r="B317" s="8" t="s">
        <v>313</v>
      </c>
      <c r="C317" s="8" t="n">
        <v>2024</v>
      </c>
      <c r="D317" s="8" t="s">
        <v>58</v>
      </c>
      <c r="E317" s="8" t="s">
        <v>314</v>
      </c>
      <c r="F317" s="8" t="s">
        <v>852</v>
      </c>
      <c r="G317" s="8" t="s">
        <v>853</v>
      </c>
      <c r="H317" s="8" t="s">
        <v>854</v>
      </c>
    </row>
    <row r="318" customFormat="false" ht="15" hidden="false" customHeight="false" outlineLevel="0" collapsed="false">
      <c r="A318" s="8" t="s">
        <v>1647</v>
      </c>
      <c r="B318" s="8" t="s">
        <v>1648</v>
      </c>
      <c r="C318" s="8" t="n">
        <v>2024</v>
      </c>
      <c r="D318" s="8" t="s">
        <v>58</v>
      </c>
      <c r="E318" s="8" t="s">
        <v>1649</v>
      </c>
      <c r="F318" s="8" t="s">
        <v>782</v>
      </c>
      <c r="G318" s="8" t="s">
        <v>783</v>
      </c>
      <c r="H318" s="8" t="s">
        <v>784</v>
      </c>
    </row>
    <row r="319" customFormat="false" ht="15" hidden="false" customHeight="false" outlineLevel="0" collapsed="false">
      <c r="A319" s="8" t="s">
        <v>1650</v>
      </c>
      <c r="B319" s="8" t="s">
        <v>1651</v>
      </c>
      <c r="C319" s="8" t="n">
        <v>2026</v>
      </c>
      <c r="D319" s="8" t="s">
        <v>83</v>
      </c>
      <c r="E319" s="8" t="s">
        <v>1652</v>
      </c>
      <c r="F319" s="8" t="s">
        <v>782</v>
      </c>
      <c r="G319" s="8" t="s">
        <v>966</v>
      </c>
      <c r="H319" s="8" t="s">
        <v>967</v>
      </c>
    </row>
    <row r="320" customFormat="false" ht="15" hidden="false" customHeight="false" outlineLevel="0" collapsed="false">
      <c r="A320" s="8" t="s">
        <v>1653</v>
      </c>
      <c r="B320" s="8" t="s">
        <v>1654</v>
      </c>
      <c r="C320" s="8" t="n">
        <v>2025</v>
      </c>
      <c r="D320" s="8" t="s">
        <v>83</v>
      </c>
      <c r="E320" s="8" t="s">
        <v>1655</v>
      </c>
      <c r="F320" s="8" t="s">
        <v>782</v>
      </c>
      <c r="G320" s="8" t="s">
        <v>788</v>
      </c>
      <c r="H320" s="8" t="s">
        <v>789</v>
      </c>
    </row>
    <row r="321" customFormat="false" ht="15" hidden="false" customHeight="false" outlineLevel="0" collapsed="false">
      <c r="A321" s="8" t="s">
        <v>108</v>
      </c>
      <c r="B321" s="8" t="s">
        <v>110</v>
      </c>
      <c r="C321" s="8" t="n">
        <v>2026</v>
      </c>
      <c r="D321" s="8" t="s">
        <v>74</v>
      </c>
      <c r="E321" s="8" t="s">
        <v>111</v>
      </c>
      <c r="F321" s="8" t="s">
        <v>852</v>
      </c>
      <c r="G321" s="8" t="s">
        <v>853</v>
      </c>
      <c r="H321" s="8" t="s">
        <v>854</v>
      </c>
    </row>
    <row r="322" customFormat="false" ht="15" hidden="false" customHeight="false" outlineLevel="0" collapsed="false">
      <c r="A322" s="8" t="s">
        <v>1656</v>
      </c>
      <c r="B322" s="8" t="s">
        <v>1657</v>
      </c>
      <c r="C322" s="8" t="n">
        <v>2026</v>
      </c>
      <c r="D322" s="8" t="s">
        <v>58</v>
      </c>
      <c r="E322" s="8" t="s">
        <v>1658</v>
      </c>
      <c r="F322" s="8" t="s">
        <v>782</v>
      </c>
      <c r="G322" s="8" t="s">
        <v>783</v>
      </c>
      <c r="H322" s="8" t="s">
        <v>861</v>
      </c>
    </row>
    <row r="323" customFormat="false" ht="15" hidden="false" customHeight="false" outlineLevel="0" collapsed="false">
      <c r="A323" s="8" t="s">
        <v>1659</v>
      </c>
      <c r="B323" s="8" t="s">
        <v>1660</v>
      </c>
      <c r="C323" s="8" t="n">
        <v>2024</v>
      </c>
      <c r="D323" s="8" t="s">
        <v>90</v>
      </c>
      <c r="E323" s="8" t="s">
        <v>1661</v>
      </c>
      <c r="F323" s="8" t="s">
        <v>782</v>
      </c>
      <c r="G323" s="8" t="s">
        <v>783</v>
      </c>
      <c r="H323" s="8" t="s">
        <v>784</v>
      </c>
    </row>
    <row r="324" customFormat="false" ht="15" hidden="false" customHeight="false" outlineLevel="0" collapsed="false">
      <c r="A324" s="8" t="s">
        <v>191</v>
      </c>
      <c r="B324" s="8" t="s">
        <v>193</v>
      </c>
      <c r="C324" s="8" t="n">
        <v>2025</v>
      </c>
      <c r="D324" s="8" t="s">
        <v>83</v>
      </c>
      <c r="E324" s="8" t="s">
        <v>195</v>
      </c>
      <c r="F324" s="8" t="s">
        <v>852</v>
      </c>
      <c r="G324" s="8" t="s">
        <v>853</v>
      </c>
      <c r="H324" s="8" t="s">
        <v>854</v>
      </c>
    </row>
    <row r="325" customFormat="false" ht="15" hidden="false" customHeight="false" outlineLevel="0" collapsed="false">
      <c r="A325" s="8" t="s">
        <v>1662</v>
      </c>
      <c r="B325" s="8" t="s">
        <v>1663</v>
      </c>
      <c r="C325" s="8" t="n">
        <v>2026</v>
      </c>
      <c r="D325" s="8" t="s">
        <v>58</v>
      </c>
      <c r="E325" s="8" t="s">
        <v>1664</v>
      </c>
      <c r="F325" s="8" t="s">
        <v>782</v>
      </c>
      <c r="G325" s="8" t="s">
        <v>783</v>
      </c>
      <c r="H325" s="8" t="s">
        <v>784</v>
      </c>
    </row>
    <row r="326" customFormat="false" ht="15" hidden="false" customHeight="false" outlineLevel="0" collapsed="false">
      <c r="A326" s="8" t="s">
        <v>231</v>
      </c>
      <c r="B326" s="8" t="s">
        <v>233</v>
      </c>
      <c r="C326" s="8" t="n">
        <v>2025</v>
      </c>
      <c r="D326" s="8" t="s">
        <v>74</v>
      </c>
      <c r="E326" s="8" t="s">
        <v>234</v>
      </c>
      <c r="F326" s="8" t="s">
        <v>852</v>
      </c>
      <c r="G326" s="8" t="s">
        <v>853</v>
      </c>
      <c r="H326" s="8" t="s">
        <v>854</v>
      </c>
    </row>
    <row r="327" customFormat="false" ht="15" hidden="false" customHeight="false" outlineLevel="0" collapsed="false">
      <c r="A327" s="8" t="s">
        <v>1665</v>
      </c>
      <c r="B327" s="8" t="s">
        <v>1666</v>
      </c>
      <c r="C327" s="8" t="n">
        <v>2024</v>
      </c>
      <c r="D327" s="8" t="s">
        <v>58</v>
      </c>
      <c r="E327" s="8" t="s">
        <v>1667</v>
      </c>
      <c r="F327" s="8" t="s">
        <v>782</v>
      </c>
      <c r="G327" s="8" t="s">
        <v>783</v>
      </c>
      <c r="H327" s="8" t="s">
        <v>784</v>
      </c>
    </row>
    <row r="328" customFormat="false" ht="15" hidden="false" customHeight="false" outlineLevel="0" collapsed="false">
      <c r="A328" s="8" t="s">
        <v>1668</v>
      </c>
      <c r="B328" s="8" t="s">
        <v>1669</v>
      </c>
      <c r="C328" s="8" t="n">
        <v>2025</v>
      </c>
      <c r="D328" s="8" t="s">
        <v>58</v>
      </c>
      <c r="E328" s="8" t="s">
        <v>1670</v>
      </c>
      <c r="F328" s="8" t="s">
        <v>782</v>
      </c>
      <c r="G328" s="8" t="s">
        <v>788</v>
      </c>
      <c r="H328" s="8" t="s">
        <v>789</v>
      </c>
    </row>
    <row r="329" customFormat="false" ht="15" hidden="false" customHeight="false" outlineLevel="0" collapsed="false">
      <c r="A329" s="8" t="s">
        <v>320</v>
      </c>
      <c r="B329" s="8" t="s">
        <v>322</v>
      </c>
      <c r="C329" s="8" t="n">
        <v>2024</v>
      </c>
      <c r="D329" s="8" t="s">
        <v>83</v>
      </c>
      <c r="E329" s="8" t="s">
        <v>324</v>
      </c>
      <c r="F329" s="8" t="s">
        <v>852</v>
      </c>
      <c r="G329" s="8" t="s">
        <v>853</v>
      </c>
      <c r="H329" s="8" t="s">
        <v>854</v>
      </c>
    </row>
    <row r="330" customFormat="false" ht="15" hidden="false" customHeight="false" outlineLevel="0" collapsed="false">
      <c r="A330" s="8" t="s">
        <v>345</v>
      </c>
      <c r="B330" s="8" t="s">
        <v>347</v>
      </c>
      <c r="C330" s="8" t="n">
        <v>2023</v>
      </c>
      <c r="D330" s="8" t="s">
        <v>83</v>
      </c>
      <c r="E330" s="8" t="s">
        <v>349</v>
      </c>
      <c r="F330" s="8" t="s">
        <v>852</v>
      </c>
      <c r="G330" s="8" t="s">
        <v>853</v>
      </c>
      <c r="H330" s="8" t="s">
        <v>854</v>
      </c>
    </row>
    <row r="331" customFormat="false" ht="15" hidden="false" customHeight="false" outlineLevel="0" collapsed="false">
      <c r="A331" s="8" t="s">
        <v>1671</v>
      </c>
      <c r="B331" s="8" t="s">
        <v>1672</v>
      </c>
      <c r="C331" s="8" t="n">
        <v>2025</v>
      </c>
      <c r="D331" s="8" t="s">
        <v>83</v>
      </c>
      <c r="E331" s="8" t="s">
        <v>1673</v>
      </c>
      <c r="F331" s="8" t="s">
        <v>782</v>
      </c>
      <c r="G331" s="8" t="s">
        <v>783</v>
      </c>
      <c r="H331" s="8" t="s">
        <v>784</v>
      </c>
    </row>
    <row r="332" customFormat="false" ht="15" hidden="false" customHeight="false" outlineLevel="0" collapsed="false">
      <c r="A332" s="8" t="s">
        <v>1674</v>
      </c>
      <c r="B332" s="8" t="s">
        <v>1675</v>
      </c>
      <c r="C332" s="8" t="n">
        <v>2026</v>
      </c>
      <c r="D332" s="8" t="s">
        <v>58</v>
      </c>
      <c r="E332" s="8" t="s">
        <v>1676</v>
      </c>
      <c r="F332" s="8" t="s">
        <v>782</v>
      </c>
      <c r="G332" s="8" t="s">
        <v>783</v>
      </c>
      <c r="H332" s="8" t="s">
        <v>861</v>
      </c>
    </row>
    <row r="333" customFormat="false" ht="15" hidden="false" customHeight="false" outlineLevel="0" collapsed="false">
      <c r="A333" s="8" t="s">
        <v>1677</v>
      </c>
      <c r="B333" s="8" t="s">
        <v>1678</v>
      </c>
      <c r="C333" s="8" t="n">
        <v>2025</v>
      </c>
      <c r="D333" s="8" t="s">
        <v>58</v>
      </c>
      <c r="E333" s="8"/>
      <c r="F333" s="8" t="s">
        <v>782</v>
      </c>
      <c r="G333" s="8" t="s">
        <v>783</v>
      </c>
      <c r="H333" s="8" t="s">
        <v>861</v>
      </c>
    </row>
    <row r="334" customFormat="false" ht="15" hidden="false" customHeight="false" outlineLevel="0" collapsed="false">
      <c r="A334" s="8" t="s">
        <v>144</v>
      </c>
      <c r="B334" s="8" t="s">
        <v>146</v>
      </c>
      <c r="C334" s="8" t="n">
        <v>2025</v>
      </c>
      <c r="D334" s="8" t="s">
        <v>58</v>
      </c>
      <c r="E334" s="8"/>
      <c r="F334" s="8" t="s">
        <v>852</v>
      </c>
      <c r="G334" s="8" t="s">
        <v>853</v>
      </c>
      <c r="H334" s="8" t="s">
        <v>854</v>
      </c>
    </row>
    <row r="335" customFormat="false" ht="15" hidden="false" customHeight="false" outlineLevel="0" collapsed="false">
      <c r="A335" s="8" t="s">
        <v>1679</v>
      </c>
      <c r="B335" s="8" t="s">
        <v>1680</v>
      </c>
      <c r="C335" s="8" t="n">
        <v>2026</v>
      </c>
      <c r="D335" s="8" t="s">
        <v>83</v>
      </c>
      <c r="E335" s="8" t="s">
        <v>1681</v>
      </c>
      <c r="F335" s="8" t="s">
        <v>782</v>
      </c>
      <c r="G335" s="8" t="s">
        <v>783</v>
      </c>
      <c r="H335" s="8" t="s">
        <v>784</v>
      </c>
    </row>
    <row r="336" customFormat="false" ht="15" hidden="false" customHeight="false" outlineLevel="0" collapsed="false">
      <c r="A336" s="8" t="s">
        <v>1682</v>
      </c>
      <c r="B336" s="8" t="s">
        <v>1683</v>
      </c>
      <c r="C336" s="8" t="n">
        <v>2024</v>
      </c>
      <c r="D336" s="8" t="s">
        <v>83</v>
      </c>
      <c r="E336" s="8" t="s">
        <v>1684</v>
      </c>
      <c r="F336" s="8" t="s">
        <v>782</v>
      </c>
      <c r="G336" s="8" t="s">
        <v>783</v>
      </c>
      <c r="H336" s="8" t="s">
        <v>861</v>
      </c>
    </row>
    <row r="337" customFormat="false" ht="15" hidden="false" customHeight="false" outlineLevel="0" collapsed="false">
      <c r="A337" s="8" t="s">
        <v>1685</v>
      </c>
      <c r="B337" s="8" t="s">
        <v>1686</v>
      </c>
      <c r="C337" s="8" t="n">
        <v>2024</v>
      </c>
      <c r="D337" s="8" t="s">
        <v>90</v>
      </c>
      <c r="E337" s="8" t="s">
        <v>1687</v>
      </c>
      <c r="F337" s="8" t="s">
        <v>782</v>
      </c>
      <c r="G337" s="8" t="s">
        <v>783</v>
      </c>
      <c r="H337" s="8" t="s">
        <v>784</v>
      </c>
    </row>
    <row r="338" customFormat="false" ht="15" hidden="false" customHeight="false" outlineLevel="0" collapsed="false">
      <c r="A338" s="8" t="s">
        <v>1688</v>
      </c>
      <c r="B338" s="8" t="s">
        <v>1689</v>
      </c>
      <c r="C338" s="8" t="n">
        <v>2025</v>
      </c>
      <c r="D338" s="8" t="s">
        <v>58</v>
      </c>
      <c r="E338" s="8" t="s">
        <v>1690</v>
      </c>
      <c r="F338" s="8" t="s">
        <v>782</v>
      </c>
      <c r="G338" s="8" t="s">
        <v>783</v>
      </c>
      <c r="H338" s="8" t="s">
        <v>861</v>
      </c>
    </row>
    <row r="339" customFormat="false" ht="15" hidden="false" customHeight="false" outlineLevel="0" collapsed="false">
      <c r="A339" s="8" t="s">
        <v>1691</v>
      </c>
      <c r="B339" s="8" t="s">
        <v>1692</v>
      </c>
      <c r="C339" s="8" t="n">
        <v>2025</v>
      </c>
      <c r="D339" s="8" t="s">
        <v>58</v>
      </c>
      <c r="E339" s="8" t="s">
        <v>1693</v>
      </c>
      <c r="F339" s="8" t="s">
        <v>782</v>
      </c>
      <c r="G339" s="8" t="s">
        <v>783</v>
      </c>
      <c r="H339" s="8" t="s">
        <v>861</v>
      </c>
    </row>
    <row r="340" customFormat="false" ht="15" hidden="false" customHeight="false" outlineLevel="0" collapsed="false">
      <c r="A340" s="8" t="s">
        <v>1694</v>
      </c>
      <c r="B340" s="8" t="s">
        <v>1695</v>
      </c>
      <c r="C340" s="8" t="n">
        <v>2025</v>
      </c>
      <c r="D340" s="8" t="s">
        <v>83</v>
      </c>
      <c r="E340" s="8" t="s">
        <v>1696</v>
      </c>
      <c r="F340" s="8" t="s">
        <v>782</v>
      </c>
      <c r="G340" s="8" t="s">
        <v>783</v>
      </c>
      <c r="H340" s="8" t="s">
        <v>784</v>
      </c>
    </row>
    <row r="341" customFormat="false" ht="15" hidden="false" customHeight="false" outlineLevel="0" collapsed="false">
      <c r="A341" s="8" t="s">
        <v>1697</v>
      </c>
      <c r="B341" s="8" t="s">
        <v>1698</v>
      </c>
      <c r="C341" s="8" t="n">
        <v>2025</v>
      </c>
      <c r="D341" s="8" t="s">
        <v>58</v>
      </c>
      <c r="E341" s="8" t="s">
        <v>1699</v>
      </c>
      <c r="F341" s="8" t="s">
        <v>782</v>
      </c>
      <c r="G341" s="8" t="s">
        <v>783</v>
      </c>
      <c r="H341" s="8" t="s">
        <v>784</v>
      </c>
    </row>
    <row r="342" customFormat="false" ht="15" hidden="false" customHeight="false" outlineLevel="0" collapsed="false">
      <c r="A342" s="8" t="s">
        <v>1700</v>
      </c>
      <c r="B342" s="8" t="s">
        <v>1701</v>
      </c>
      <c r="C342" s="8" t="n">
        <v>2025</v>
      </c>
      <c r="D342" s="8" t="s">
        <v>90</v>
      </c>
      <c r="E342" s="8" t="s">
        <v>1702</v>
      </c>
      <c r="F342" s="8" t="s">
        <v>782</v>
      </c>
      <c r="G342" s="8" t="s">
        <v>821</v>
      </c>
      <c r="H342" s="8" t="s">
        <v>822</v>
      </c>
    </row>
    <row r="343" customFormat="false" ht="15" hidden="false" customHeight="false" outlineLevel="0" collapsed="false">
      <c r="A343" s="8" t="s">
        <v>1703</v>
      </c>
      <c r="B343" s="8" t="s">
        <v>1704</v>
      </c>
      <c r="C343" s="8" t="n">
        <v>2026</v>
      </c>
      <c r="D343" s="8" t="s">
        <v>58</v>
      </c>
      <c r="E343" s="8" t="s">
        <v>1705</v>
      </c>
      <c r="F343" s="8" t="s">
        <v>782</v>
      </c>
      <c r="G343" s="8" t="s">
        <v>783</v>
      </c>
      <c r="H343" s="8" t="s">
        <v>784</v>
      </c>
    </row>
    <row r="344" customFormat="false" ht="15" hidden="false" customHeight="false" outlineLevel="0" collapsed="false">
      <c r="A344" s="8" t="s">
        <v>254</v>
      </c>
      <c r="B344" s="8" t="s">
        <v>256</v>
      </c>
      <c r="C344" s="8" t="n">
        <v>2025</v>
      </c>
      <c r="D344" s="8" t="s">
        <v>58</v>
      </c>
      <c r="E344" s="8" t="s">
        <v>258</v>
      </c>
      <c r="F344" s="8" t="s">
        <v>852</v>
      </c>
      <c r="G344" s="8" t="s">
        <v>853</v>
      </c>
      <c r="H344" s="8" t="s">
        <v>854</v>
      </c>
    </row>
    <row r="345" customFormat="false" ht="15" hidden="false" customHeight="false" outlineLevel="0" collapsed="false">
      <c r="A345" s="8" t="s">
        <v>1706</v>
      </c>
      <c r="B345" s="8" t="s">
        <v>1707</v>
      </c>
      <c r="C345" s="8" t="n">
        <v>2025</v>
      </c>
      <c r="D345" s="8" t="s">
        <v>83</v>
      </c>
      <c r="E345" s="8" t="s">
        <v>1708</v>
      </c>
      <c r="F345" s="8" t="s">
        <v>782</v>
      </c>
      <c r="G345" s="8" t="s">
        <v>783</v>
      </c>
      <c r="H345" s="8" t="s">
        <v>784</v>
      </c>
    </row>
    <row r="346" customFormat="false" ht="15" hidden="false" customHeight="false" outlineLevel="0" collapsed="false">
      <c r="A346" s="8" t="s">
        <v>1709</v>
      </c>
      <c r="B346" s="8" t="s">
        <v>1710</v>
      </c>
      <c r="C346" s="8" t="n">
        <v>2025</v>
      </c>
      <c r="D346" s="8" t="s">
        <v>970</v>
      </c>
      <c r="E346" s="8" t="s">
        <v>1711</v>
      </c>
      <c r="F346" s="8" t="s">
        <v>782</v>
      </c>
      <c r="G346" s="8" t="s">
        <v>783</v>
      </c>
      <c r="H346" s="8" t="s">
        <v>784</v>
      </c>
    </row>
    <row r="347" customFormat="false" ht="15" hidden="false" customHeight="false" outlineLevel="0" collapsed="false">
      <c r="A347" s="8" t="s">
        <v>1712</v>
      </c>
      <c r="B347" s="8" t="s">
        <v>1713</v>
      </c>
      <c r="C347" s="8" t="n">
        <v>2025</v>
      </c>
      <c r="D347" s="8" t="s">
        <v>58</v>
      </c>
      <c r="E347" s="8" t="s">
        <v>1714</v>
      </c>
      <c r="F347" s="8" t="s">
        <v>782</v>
      </c>
      <c r="G347" s="8" t="s">
        <v>783</v>
      </c>
      <c r="H347" s="8" t="s">
        <v>784</v>
      </c>
    </row>
    <row r="348" customFormat="false" ht="15" hidden="false" customHeight="false" outlineLevel="0" collapsed="false">
      <c r="A348" s="8" t="s">
        <v>1715</v>
      </c>
      <c r="B348" s="8" t="s">
        <v>1716</v>
      </c>
      <c r="C348" s="8" t="n">
        <v>2024</v>
      </c>
      <c r="D348" s="8" t="s">
        <v>58</v>
      </c>
      <c r="E348" s="8" t="s">
        <v>1717</v>
      </c>
      <c r="F348" s="8" t="s">
        <v>782</v>
      </c>
      <c r="G348" s="8" t="s">
        <v>783</v>
      </c>
      <c r="H348" s="8" t="s">
        <v>784</v>
      </c>
    </row>
    <row r="349" customFormat="false" ht="15" hidden="false" customHeight="false" outlineLevel="0" collapsed="false">
      <c r="A349" s="8" t="s">
        <v>1718</v>
      </c>
      <c r="B349" s="8" t="s">
        <v>1719</v>
      </c>
      <c r="C349" s="8" t="n">
        <v>2026</v>
      </c>
      <c r="D349" s="8" t="s">
        <v>58</v>
      </c>
      <c r="E349" s="8" t="s">
        <v>1720</v>
      </c>
      <c r="F349" s="8" t="s">
        <v>782</v>
      </c>
      <c r="G349" s="8" t="s">
        <v>783</v>
      </c>
      <c r="H349" s="8" t="s">
        <v>784</v>
      </c>
    </row>
    <row r="350" customFormat="false" ht="15" hidden="false" customHeight="false" outlineLevel="0" collapsed="false">
      <c r="A350" s="8" t="s">
        <v>1721</v>
      </c>
      <c r="B350" s="8" t="s">
        <v>1722</v>
      </c>
      <c r="C350" s="8" t="n">
        <v>2024</v>
      </c>
      <c r="D350" s="8" t="s">
        <v>83</v>
      </c>
      <c r="E350" s="8" t="s">
        <v>1723</v>
      </c>
      <c r="F350" s="8" t="s">
        <v>782</v>
      </c>
      <c r="G350" s="8" t="s">
        <v>783</v>
      </c>
      <c r="H350" s="8" t="s">
        <v>784</v>
      </c>
    </row>
    <row r="351" customFormat="false" ht="15" hidden="false" customHeight="false" outlineLevel="0" collapsed="false">
      <c r="A351" s="8" t="s">
        <v>1724</v>
      </c>
      <c r="B351" s="8" t="s">
        <v>1725</v>
      </c>
      <c r="C351" s="8" t="n">
        <v>2024</v>
      </c>
      <c r="D351" s="8" t="s">
        <v>83</v>
      </c>
      <c r="E351" s="8" t="s">
        <v>1726</v>
      </c>
      <c r="F351" s="8" t="s">
        <v>782</v>
      </c>
      <c r="G351" s="8" t="s">
        <v>783</v>
      </c>
      <c r="H351" s="8" t="s">
        <v>784</v>
      </c>
    </row>
    <row r="352" customFormat="false" ht="15" hidden="false" customHeight="false" outlineLevel="0" collapsed="false">
      <c r="A352" s="8" t="s">
        <v>1727</v>
      </c>
      <c r="B352" s="8" t="s">
        <v>1728</v>
      </c>
      <c r="C352" s="8" t="n">
        <v>2026</v>
      </c>
      <c r="D352" s="8" t="s">
        <v>90</v>
      </c>
      <c r="E352" s="8" t="s">
        <v>1729</v>
      </c>
      <c r="F352" s="8" t="s">
        <v>782</v>
      </c>
      <c r="G352" s="8" t="s">
        <v>821</v>
      </c>
      <c r="H352" s="8" t="s">
        <v>822</v>
      </c>
    </row>
    <row r="353" customFormat="false" ht="15" hidden="false" customHeight="false" outlineLevel="0" collapsed="false">
      <c r="A353" s="8" t="s">
        <v>1730</v>
      </c>
      <c r="B353" s="8" t="s">
        <v>1731</v>
      </c>
      <c r="C353" s="8" t="n">
        <v>2025</v>
      </c>
      <c r="D353" s="8" t="s">
        <v>74</v>
      </c>
      <c r="E353" s="8" t="s">
        <v>1732</v>
      </c>
      <c r="F353" s="8" t="s">
        <v>782</v>
      </c>
      <c r="G353" s="8" t="s">
        <v>783</v>
      </c>
      <c r="H353" s="8" t="s">
        <v>784</v>
      </c>
    </row>
    <row r="354" customFormat="false" ht="15" hidden="false" customHeight="false" outlineLevel="0" collapsed="false">
      <c r="A354" s="8" t="s">
        <v>1733</v>
      </c>
      <c r="B354" s="8" t="s">
        <v>1734</v>
      </c>
      <c r="C354" s="8" t="n">
        <v>2024</v>
      </c>
      <c r="D354" s="8" t="s">
        <v>83</v>
      </c>
      <c r="E354" s="8" t="s">
        <v>1735</v>
      </c>
      <c r="F354" s="8" t="s">
        <v>782</v>
      </c>
      <c r="G354" s="8" t="s">
        <v>783</v>
      </c>
      <c r="H354" s="8" t="s">
        <v>861</v>
      </c>
    </row>
    <row r="355" customFormat="false" ht="15" hidden="false" customHeight="false" outlineLevel="0" collapsed="false">
      <c r="A355" s="8" t="s">
        <v>1736</v>
      </c>
      <c r="B355" s="8" t="s">
        <v>1737</v>
      </c>
      <c r="C355" s="8" t="n">
        <v>2025</v>
      </c>
      <c r="D355" s="8" t="s">
        <v>83</v>
      </c>
      <c r="E355" s="8" t="s">
        <v>1738</v>
      </c>
      <c r="F355" s="8" t="s">
        <v>782</v>
      </c>
      <c r="G355" s="8" t="s">
        <v>895</v>
      </c>
      <c r="H355" s="8" t="s">
        <v>896</v>
      </c>
    </row>
    <row r="356" customFormat="false" ht="15" hidden="false" customHeight="false" outlineLevel="0" collapsed="false">
      <c r="A356" s="8" t="s">
        <v>1739</v>
      </c>
      <c r="B356" s="8" t="s">
        <v>1740</v>
      </c>
      <c r="C356" s="8" t="n">
        <v>2024</v>
      </c>
      <c r="D356" s="8" t="s">
        <v>58</v>
      </c>
      <c r="E356" s="8" t="s">
        <v>1741</v>
      </c>
      <c r="F356" s="8" t="s">
        <v>782</v>
      </c>
      <c r="G356" s="8" t="s">
        <v>783</v>
      </c>
      <c r="H356" s="8" t="s">
        <v>784</v>
      </c>
    </row>
    <row r="357" customFormat="false" ht="15" hidden="false" customHeight="false" outlineLevel="0" collapsed="false">
      <c r="A357" s="8" t="s">
        <v>1742</v>
      </c>
      <c r="B357" s="8" t="s">
        <v>1743</v>
      </c>
      <c r="C357" s="8" t="n">
        <v>2024</v>
      </c>
      <c r="D357" s="8" t="s">
        <v>58</v>
      </c>
      <c r="E357" s="8" t="s">
        <v>1744</v>
      </c>
      <c r="F357" s="8" t="s">
        <v>782</v>
      </c>
      <c r="G357" s="8" t="s">
        <v>783</v>
      </c>
      <c r="H357" s="8" t="s">
        <v>861</v>
      </c>
    </row>
    <row r="358" customFormat="false" ht="15" hidden="false" customHeight="false" outlineLevel="0" collapsed="false">
      <c r="A358" s="8" t="s">
        <v>1745</v>
      </c>
      <c r="B358" s="8" t="s">
        <v>1746</v>
      </c>
      <c r="C358" s="8" t="n">
        <v>2024</v>
      </c>
      <c r="D358" s="8" t="s">
        <v>58</v>
      </c>
      <c r="E358" s="8" t="s">
        <v>1747</v>
      </c>
      <c r="F358" s="8" t="s">
        <v>782</v>
      </c>
      <c r="G358" s="8" t="s">
        <v>783</v>
      </c>
      <c r="H358" s="8" t="s">
        <v>784</v>
      </c>
    </row>
    <row r="359" customFormat="false" ht="15" hidden="false" customHeight="false" outlineLevel="0" collapsed="false">
      <c r="A359" s="8" t="s">
        <v>1748</v>
      </c>
      <c r="B359" s="8" t="s">
        <v>1749</v>
      </c>
      <c r="C359" s="8" t="n">
        <v>2026</v>
      </c>
      <c r="D359" s="8" t="s">
        <v>83</v>
      </c>
      <c r="E359" s="8" t="s">
        <v>1750</v>
      </c>
      <c r="F359" s="8" t="s">
        <v>782</v>
      </c>
      <c r="G359" s="8" t="s">
        <v>783</v>
      </c>
      <c r="H359" s="8" t="s">
        <v>784</v>
      </c>
    </row>
    <row r="360" customFormat="false" ht="15" hidden="false" customHeight="false" outlineLevel="0" collapsed="false">
      <c r="A360" s="8" t="s">
        <v>1751</v>
      </c>
      <c r="B360" s="8" t="s">
        <v>1752</v>
      </c>
      <c r="C360" s="8" t="n">
        <v>2025</v>
      </c>
      <c r="D360" s="8" t="s">
        <v>58</v>
      </c>
      <c r="E360" s="8" t="s">
        <v>1753</v>
      </c>
      <c r="F360" s="8" t="s">
        <v>782</v>
      </c>
      <c r="G360" s="8" t="s">
        <v>783</v>
      </c>
      <c r="H360" s="8" t="s">
        <v>784</v>
      </c>
    </row>
    <row r="361" customFormat="false" ht="15" hidden="false" customHeight="false" outlineLevel="0" collapsed="false">
      <c r="A361" s="8" t="s">
        <v>1754</v>
      </c>
      <c r="B361" s="8" t="s">
        <v>1755</v>
      </c>
      <c r="C361" s="8" t="n">
        <v>2024</v>
      </c>
      <c r="D361" s="8" t="s">
        <v>83</v>
      </c>
      <c r="E361" s="8" t="s">
        <v>1756</v>
      </c>
      <c r="F361" s="8" t="s">
        <v>782</v>
      </c>
      <c r="G361" s="8" t="s">
        <v>783</v>
      </c>
      <c r="H361" s="8" t="s">
        <v>784</v>
      </c>
    </row>
    <row r="362" customFormat="false" ht="15" hidden="false" customHeight="false" outlineLevel="0" collapsed="false">
      <c r="A362" s="8" t="s">
        <v>209</v>
      </c>
      <c r="B362" s="8" t="s">
        <v>211</v>
      </c>
      <c r="C362" s="8" t="n">
        <v>2025</v>
      </c>
      <c r="D362" s="8" t="s">
        <v>58</v>
      </c>
      <c r="E362" s="8"/>
      <c r="F362" s="8" t="s">
        <v>852</v>
      </c>
      <c r="G362" s="8" t="s">
        <v>853</v>
      </c>
      <c r="H362" s="8" t="s">
        <v>854</v>
      </c>
    </row>
    <row r="363" customFormat="false" ht="15" hidden="false" customHeight="false" outlineLevel="0" collapsed="false">
      <c r="A363" s="8" t="s">
        <v>1757</v>
      </c>
      <c r="B363" s="8" t="s">
        <v>1758</v>
      </c>
      <c r="C363" s="8" t="n">
        <v>2023</v>
      </c>
      <c r="D363" s="8" t="s">
        <v>58</v>
      </c>
      <c r="E363" s="8" t="s">
        <v>1759</v>
      </c>
      <c r="F363" s="8" t="s">
        <v>782</v>
      </c>
      <c r="G363" s="8" t="s">
        <v>783</v>
      </c>
      <c r="H363" s="8" t="s">
        <v>784</v>
      </c>
    </row>
    <row r="364" customFormat="false" ht="15" hidden="false" customHeight="false" outlineLevel="0" collapsed="false">
      <c r="A364" s="8" t="s">
        <v>1760</v>
      </c>
      <c r="B364" s="8" t="s">
        <v>1761</v>
      </c>
      <c r="C364" s="8" t="n">
        <v>2026</v>
      </c>
      <c r="D364" s="8" t="s">
        <v>58</v>
      </c>
      <c r="E364" s="8" t="s">
        <v>1762</v>
      </c>
      <c r="F364" s="8" t="s">
        <v>782</v>
      </c>
      <c r="G364" s="8" t="s">
        <v>783</v>
      </c>
      <c r="H364" s="8" t="s">
        <v>784</v>
      </c>
    </row>
    <row r="365" customFormat="false" ht="15" hidden="false" customHeight="false" outlineLevel="0" collapsed="false">
      <c r="A365" s="8" t="s">
        <v>1763</v>
      </c>
      <c r="B365" s="8" t="s">
        <v>1764</v>
      </c>
      <c r="C365" s="8" t="n">
        <v>2025</v>
      </c>
      <c r="D365" s="8" t="s">
        <v>90</v>
      </c>
      <c r="E365" s="8" t="s">
        <v>1765</v>
      </c>
      <c r="F365" s="8" t="s">
        <v>782</v>
      </c>
      <c r="G365" s="8" t="s">
        <v>821</v>
      </c>
      <c r="H365" s="8" t="s">
        <v>822</v>
      </c>
    </row>
    <row r="366" customFormat="false" ht="15" hidden="false" customHeight="false" outlineLevel="0" collapsed="false">
      <c r="A366" s="8" t="s">
        <v>1766</v>
      </c>
      <c r="B366" s="8" t="s">
        <v>1767</v>
      </c>
      <c r="C366" s="8" t="n">
        <v>2024</v>
      </c>
      <c r="D366" s="8" t="s">
        <v>83</v>
      </c>
      <c r="E366" s="8" t="s">
        <v>1768</v>
      </c>
      <c r="F366" s="8" t="s">
        <v>782</v>
      </c>
      <c r="G366" s="8" t="s">
        <v>783</v>
      </c>
      <c r="H366" s="8" t="s">
        <v>784</v>
      </c>
    </row>
    <row r="367" customFormat="false" ht="15" hidden="false" customHeight="false" outlineLevel="0" collapsed="false">
      <c r="A367" s="8" t="s">
        <v>1769</v>
      </c>
      <c r="B367" s="8" t="s">
        <v>1770</v>
      </c>
      <c r="C367" s="8" t="n">
        <v>2025</v>
      </c>
      <c r="D367" s="8" t="s">
        <v>90</v>
      </c>
      <c r="E367" s="8" t="s">
        <v>1771</v>
      </c>
      <c r="F367" s="8" t="s">
        <v>782</v>
      </c>
      <c r="G367" s="8" t="s">
        <v>788</v>
      </c>
      <c r="H367" s="8" t="s">
        <v>789</v>
      </c>
    </row>
    <row r="368" customFormat="false" ht="15" hidden="false" customHeight="false" outlineLevel="0" collapsed="false">
      <c r="A368" s="8" t="s">
        <v>1772</v>
      </c>
      <c r="B368" s="8" t="s">
        <v>1773</v>
      </c>
      <c r="C368" s="8" t="n">
        <v>2024</v>
      </c>
      <c r="D368" s="8" t="s">
        <v>58</v>
      </c>
      <c r="E368" s="8" t="s">
        <v>1774</v>
      </c>
      <c r="F368" s="8" t="s">
        <v>782</v>
      </c>
      <c r="G368" s="8" t="s">
        <v>783</v>
      </c>
      <c r="H368" s="8" t="s">
        <v>784</v>
      </c>
    </row>
    <row r="369" customFormat="false" ht="15" hidden="false" customHeight="false" outlineLevel="0" collapsed="false">
      <c r="A369" s="8" t="s">
        <v>1775</v>
      </c>
      <c r="B369" s="8" t="s">
        <v>1776</v>
      </c>
      <c r="C369" s="8" t="n">
        <v>2025</v>
      </c>
      <c r="D369" s="8" t="s">
        <v>58</v>
      </c>
      <c r="E369" s="8" t="s">
        <v>1777</v>
      </c>
      <c r="F369" s="8" t="s">
        <v>782</v>
      </c>
      <c r="G369" s="8" t="s">
        <v>783</v>
      </c>
      <c r="H369" s="8" t="s">
        <v>861</v>
      </c>
    </row>
    <row r="370" customFormat="false" ht="15" hidden="false" customHeight="false" outlineLevel="0" collapsed="false">
      <c r="A370" s="8" t="s">
        <v>1778</v>
      </c>
      <c r="B370" s="8" t="s">
        <v>1779</v>
      </c>
      <c r="C370" s="8" t="n">
        <v>2024</v>
      </c>
      <c r="D370" s="8" t="s">
        <v>58</v>
      </c>
      <c r="E370" s="8" t="s">
        <v>1780</v>
      </c>
      <c r="F370" s="8" t="s">
        <v>782</v>
      </c>
      <c r="G370" s="8" t="s">
        <v>783</v>
      </c>
      <c r="H370" s="8" t="s">
        <v>861</v>
      </c>
    </row>
    <row r="371" customFormat="false" ht="15" hidden="false" customHeight="false" outlineLevel="0" collapsed="false">
      <c r="A371" s="8" t="s">
        <v>1781</v>
      </c>
      <c r="B371" s="8" t="s">
        <v>1782</v>
      </c>
      <c r="C371" s="8" t="n">
        <v>2024</v>
      </c>
      <c r="D371" s="8" t="s">
        <v>83</v>
      </c>
      <c r="E371" s="8" t="s">
        <v>1783</v>
      </c>
      <c r="F371" s="8" t="s">
        <v>782</v>
      </c>
      <c r="G371" s="8" t="s">
        <v>783</v>
      </c>
      <c r="H371" s="8" t="s">
        <v>784</v>
      </c>
    </row>
    <row r="372" customFormat="false" ht="15" hidden="false" customHeight="false" outlineLevel="0" collapsed="false">
      <c r="A372" s="8" t="s">
        <v>1784</v>
      </c>
      <c r="B372" s="8" t="s">
        <v>1785</v>
      </c>
      <c r="C372" s="8" t="n">
        <v>2025</v>
      </c>
      <c r="D372" s="8" t="s">
        <v>58</v>
      </c>
      <c r="E372" s="8"/>
      <c r="F372" s="8" t="s">
        <v>782</v>
      </c>
      <c r="G372" s="8" t="s">
        <v>783</v>
      </c>
      <c r="H372" s="8" t="s">
        <v>784</v>
      </c>
    </row>
    <row r="373" customFormat="false" ht="15" hidden="false" customHeight="false" outlineLevel="0" collapsed="false">
      <c r="A373" s="8" t="s">
        <v>1786</v>
      </c>
      <c r="B373" s="8" t="s">
        <v>1787</v>
      </c>
      <c r="C373" s="8" t="n">
        <v>2025</v>
      </c>
      <c r="D373" s="8" t="s">
        <v>90</v>
      </c>
      <c r="E373" s="8" t="s">
        <v>1788</v>
      </c>
      <c r="F373" s="8" t="s">
        <v>782</v>
      </c>
      <c r="G373" s="8" t="s">
        <v>783</v>
      </c>
      <c r="H373" s="8" t="s">
        <v>784</v>
      </c>
    </row>
    <row r="374" customFormat="false" ht="15" hidden="false" customHeight="false" outlineLevel="0" collapsed="false">
      <c r="A374" s="8" t="s">
        <v>1789</v>
      </c>
      <c r="B374" s="8" t="s">
        <v>1790</v>
      </c>
      <c r="C374" s="8" t="n">
        <v>2024</v>
      </c>
      <c r="D374" s="8" t="s">
        <v>83</v>
      </c>
      <c r="E374" s="8" t="s">
        <v>1791</v>
      </c>
      <c r="F374" s="8" t="s">
        <v>782</v>
      </c>
      <c r="G374" s="8" t="s">
        <v>783</v>
      </c>
      <c r="H374" s="8" t="s">
        <v>784</v>
      </c>
    </row>
    <row r="375" customFormat="false" ht="15" hidden="false" customHeight="false" outlineLevel="0" collapsed="false">
      <c r="A375" s="8" t="s">
        <v>1792</v>
      </c>
      <c r="B375" s="8" t="s">
        <v>1793</v>
      </c>
      <c r="C375" s="8" t="n">
        <v>2025</v>
      </c>
      <c r="D375" s="8" t="s">
        <v>83</v>
      </c>
      <c r="E375" s="8" t="s">
        <v>1794</v>
      </c>
      <c r="F375" s="8" t="s">
        <v>782</v>
      </c>
      <c r="G375" s="8" t="s">
        <v>895</v>
      </c>
      <c r="H375" s="8" t="s">
        <v>896</v>
      </c>
    </row>
    <row r="376" customFormat="false" ht="15" hidden="false" customHeight="false" outlineLevel="0" collapsed="false">
      <c r="A376" s="8" t="s">
        <v>1795</v>
      </c>
      <c r="B376" s="8" t="s">
        <v>1796</v>
      </c>
      <c r="C376" s="8" t="n">
        <v>2025</v>
      </c>
      <c r="D376" s="8" t="s">
        <v>58</v>
      </c>
      <c r="E376" s="8" t="s">
        <v>1797</v>
      </c>
      <c r="F376" s="8" t="s">
        <v>782</v>
      </c>
      <c r="G376" s="8" t="s">
        <v>895</v>
      </c>
      <c r="H376" s="8" t="s">
        <v>896</v>
      </c>
    </row>
    <row r="377" customFormat="false" ht="15" hidden="false" customHeight="false" outlineLevel="0" collapsed="false">
      <c r="A377" s="8" t="s">
        <v>1798</v>
      </c>
      <c r="B377" s="8" t="s">
        <v>1799</v>
      </c>
      <c r="C377" s="8" t="n">
        <v>2025</v>
      </c>
      <c r="D377" s="8" t="s">
        <v>83</v>
      </c>
      <c r="E377" s="8" t="s">
        <v>1800</v>
      </c>
      <c r="F377" s="8" t="s">
        <v>782</v>
      </c>
      <c r="G377" s="8" t="s">
        <v>966</v>
      </c>
      <c r="H377" s="8" t="s">
        <v>967</v>
      </c>
    </row>
    <row r="378" customFormat="false" ht="15" hidden="false" customHeight="false" outlineLevel="0" collapsed="false">
      <c r="A378" s="8" t="s">
        <v>1801</v>
      </c>
      <c r="B378" s="8" t="s">
        <v>1802</v>
      </c>
      <c r="C378" s="8" t="n">
        <v>2025</v>
      </c>
      <c r="D378" s="8" t="s">
        <v>58</v>
      </c>
      <c r="E378" s="8" t="s">
        <v>1803</v>
      </c>
      <c r="F378" s="8" t="s">
        <v>782</v>
      </c>
      <c r="G378" s="8" t="s">
        <v>966</v>
      </c>
      <c r="H378" s="8" t="s">
        <v>967</v>
      </c>
    </row>
    <row r="379" customFormat="false" ht="15" hidden="false" customHeight="false" outlineLevel="0" collapsed="false">
      <c r="A379" s="8" t="s">
        <v>1804</v>
      </c>
      <c r="B379" s="8" t="s">
        <v>1805</v>
      </c>
      <c r="C379" s="8" t="n">
        <v>2023</v>
      </c>
      <c r="D379" s="8" t="s">
        <v>83</v>
      </c>
      <c r="E379" s="8" t="s">
        <v>1806</v>
      </c>
      <c r="F379" s="8" t="s">
        <v>782</v>
      </c>
      <c r="G379" s="8" t="s">
        <v>783</v>
      </c>
      <c r="H379" s="8" t="s">
        <v>784</v>
      </c>
    </row>
    <row r="380" customFormat="false" ht="15" hidden="false" customHeight="false" outlineLevel="0" collapsed="false">
      <c r="A380" s="8" t="s">
        <v>1807</v>
      </c>
      <c r="B380" s="8" t="s">
        <v>1808</v>
      </c>
      <c r="C380" s="8" t="n">
        <v>2025</v>
      </c>
      <c r="D380" s="8" t="s">
        <v>83</v>
      </c>
      <c r="E380" s="8" t="s">
        <v>1809</v>
      </c>
      <c r="F380" s="8" t="s">
        <v>782</v>
      </c>
      <c r="G380" s="8" t="s">
        <v>783</v>
      </c>
      <c r="H380" s="8" t="s">
        <v>784</v>
      </c>
    </row>
    <row r="381" customFormat="false" ht="15" hidden="false" customHeight="false" outlineLevel="0" collapsed="false">
      <c r="A381" s="8" t="s">
        <v>1810</v>
      </c>
      <c r="B381" s="8" t="s">
        <v>1811</v>
      </c>
      <c r="C381" s="8" t="n">
        <v>2023</v>
      </c>
      <c r="D381" s="8" t="s">
        <v>83</v>
      </c>
      <c r="E381" s="8" t="s">
        <v>1812</v>
      </c>
      <c r="F381" s="8" t="s">
        <v>782</v>
      </c>
      <c r="G381" s="8" t="s">
        <v>783</v>
      </c>
      <c r="H381" s="8" t="s">
        <v>784</v>
      </c>
    </row>
    <row r="382" customFormat="false" ht="15" hidden="false" customHeight="false" outlineLevel="0" collapsed="false">
      <c r="A382" s="8" t="s">
        <v>1813</v>
      </c>
      <c r="B382" s="8" t="s">
        <v>1814</v>
      </c>
      <c r="C382" s="8" t="n">
        <v>2026</v>
      </c>
      <c r="D382" s="8" t="s">
        <v>58</v>
      </c>
      <c r="E382" s="8" t="s">
        <v>1815</v>
      </c>
      <c r="F382" s="8" t="s">
        <v>782</v>
      </c>
      <c r="G382" s="8" t="s">
        <v>783</v>
      </c>
      <c r="H382" s="8" t="s">
        <v>784</v>
      </c>
    </row>
    <row r="383" customFormat="false" ht="15" hidden="false" customHeight="false" outlineLevel="0" collapsed="false">
      <c r="A383" s="8" t="s">
        <v>1816</v>
      </c>
      <c r="B383" s="8" t="s">
        <v>1817</v>
      </c>
      <c r="C383" s="8" t="n">
        <v>2023</v>
      </c>
      <c r="D383" s="8" t="s">
        <v>83</v>
      </c>
      <c r="E383" s="8" t="s">
        <v>1818</v>
      </c>
      <c r="F383" s="8" t="s">
        <v>782</v>
      </c>
      <c r="G383" s="8" t="s">
        <v>895</v>
      </c>
      <c r="H383" s="8" t="s">
        <v>896</v>
      </c>
    </row>
    <row r="384" customFormat="false" ht="15" hidden="false" customHeight="false" outlineLevel="0" collapsed="false">
      <c r="A384" s="8" t="s">
        <v>1819</v>
      </c>
      <c r="B384" s="8" t="s">
        <v>1820</v>
      </c>
      <c r="C384" s="8" t="n">
        <v>2024</v>
      </c>
      <c r="D384" s="8" t="s">
        <v>58</v>
      </c>
      <c r="E384" s="8" t="s">
        <v>1821</v>
      </c>
      <c r="F384" s="8" t="s">
        <v>782</v>
      </c>
      <c r="G384" s="8" t="s">
        <v>801</v>
      </c>
      <c r="H384" s="8" t="s">
        <v>802</v>
      </c>
    </row>
    <row r="385" customFormat="false" ht="15" hidden="false" customHeight="false" outlineLevel="0" collapsed="false">
      <c r="A385" s="8" t="s">
        <v>1822</v>
      </c>
      <c r="B385" s="8" t="s">
        <v>1823</v>
      </c>
      <c r="C385" s="8" t="n">
        <v>2024</v>
      </c>
      <c r="D385" s="8" t="s">
        <v>58</v>
      </c>
      <c r="E385" s="8" t="s">
        <v>1824</v>
      </c>
      <c r="F385" s="8" t="s">
        <v>782</v>
      </c>
      <c r="G385" s="8" t="s">
        <v>783</v>
      </c>
      <c r="H385" s="8" t="s">
        <v>784</v>
      </c>
    </row>
    <row r="386" customFormat="false" ht="15" hidden="false" customHeight="false" outlineLevel="0" collapsed="false">
      <c r="A386" s="8" t="s">
        <v>1825</v>
      </c>
      <c r="B386" s="8" t="s">
        <v>1826</v>
      </c>
      <c r="C386" s="8" t="n">
        <v>2026</v>
      </c>
      <c r="D386" s="8" t="s">
        <v>58</v>
      </c>
      <c r="E386" s="8" t="s">
        <v>1827</v>
      </c>
      <c r="F386" s="8" t="s">
        <v>782</v>
      </c>
      <c r="G386" s="8" t="s">
        <v>783</v>
      </c>
      <c r="H386" s="8" t="s">
        <v>861</v>
      </c>
    </row>
    <row r="387" customFormat="false" ht="15" hidden="false" customHeight="false" outlineLevel="0" collapsed="false">
      <c r="A387" s="8" t="s">
        <v>1828</v>
      </c>
      <c r="B387" s="8" t="s">
        <v>1829</v>
      </c>
      <c r="C387" s="8" t="n">
        <v>2024</v>
      </c>
      <c r="D387" s="8" t="s">
        <v>83</v>
      </c>
      <c r="E387" s="8" t="s">
        <v>1830</v>
      </c>
      <c r="F387" s="8" t="s">
        <v>782</v>
      </c>
      <c r="G387" s="8" t="s">
        <v>788</v>
      </c>
      <c r="H387" s="8" t="s">
        <v>789</v>
      </c>
    </row>
    <row r="388" customFormat="false" ht="15" hidden="false" customHeight="false" outlineLevel="0" collapsed="false">
      <c r="A388" s="8" t="s">
        <v>1831</v>
      </c>
      <c r="B388" s="8" t="s">
        <v>1832</v>
      </c>
      <c r="C388" s="8" t="n">
        <v>2025</v>
      </c>
      <c r="D388" s="8" t="s">
        <v>58</v>
      </c>
      <c r="E388" s="8" t="s">
        <v>1833</v>
      </c>
      <c r="F388" s="8" t="s">
        <v>782</v>
      </c>
      <c r="G388" s="8" t="s">
        <v>783</v>
      </c>
      <c r="H388" s="8" t="s">
        <v>784</v>
      </c>
    </row>
    <row r="389" customFormat="false" ht="15" hidden="false" customHeight="false" outlineLevel="0" collapsed="false">
      <c r="A389" s="8" t="s">
        <v>1834</v>
      </c>
      <c r="B389" s="8" t="s">
        <v>1835</v>
      </c>
      <c r="C389" s="8" t="n">
        <v>2025</v>
      </c>
      <c r="D389" s="8" t="s">
        <v>58</v>
      </c>
      <c r="E389" s="8" t="s">
        <v>1836</v>
      </c>
      <c r="F389" s="8" t="s">
        <v>782</v>
      </c>
      <c r="G389" s="8" t="s">
        <v>783</v>
      </c>
      <c r="H389" s="8" t="s">
        <v>784</v>
      </c>
    </row>
    <row r="390" customFormat="false" ht="15" hidden="false" customHeight="false" outlineLevel="0" collapsed="false">
      <c r="A390" s="8" t="s">
        <v>185</v>
      </c>
      <c r="B390" s="8" t="s">
        <v>187</v>
      </c>
      <c r="C390" s="8" t="n">
        <v>2025</v>
      </c>
      <c r="D390" s="8" t="s">
        <v>58</v>
      </c>
      <c r="E390" s="8" t="s">
        <v>189</v>
      </c>
      <c r="F390" s="8" t="s">
        <v>852</v>
      </c>
      <c r="G390" s="8" t="s">
        <v>853</v>
      </c>
      <c r="H390" s="8" t="s">
        <v>854</v>
      </c>
    </row>
    <row r="391" customFormat="false" ht="15" hidden="false" customHeight="false" outlineLevel="0" collapsed="false">
      <c r="A391" s="8" t="s">
        <v>1837</v>
      </c>
      <c r="B391" s="8" t="s">
        <v>1838</v>
      </c>
      <c r="C391" s="8" t="n">
        <v>2025</v>
      </c>
      <c r="D391" s="8" t="s">
        <v>58</v>
      </c>
      <c r="E391" s="8" t="s">
        <v>1839</v>
      </c>
      <c r="F391" s="8" t="s">
        <v>782</v>
      </c>
      <c r="G391" s="8" t="s">
        <v>783</v>
      </c>
      <c r="H391" s="8" t="s">
        <v>784</v>
      </c>
    </row>
    <row r="392" customFormat="false" ht="15" hidden="false" customHeight="false" outlineLevel="0" collapsed="false">
      <c r="A392" s="8" t="s">
        <v>220</v>
      </c>
      <c r="B392" s="8" t="s">
        <v>222</v>
      </c>
      <c r="C392" s="8" t="n">
        <v>2025</v>
      </c>
      <c r="D392" s="8" t="s">
        <v>58</v>
      </c>
      <c r="E392" s="8" t="s">
        <v>223</v>
      </c>
      <c r="F392" s="8" t="s">
        <v>852</v>
      </c>
      <c r="G392" s="8" t="s">
        <v>853</v>
      </c>
      <c r="H392" s="8" t="s">
        <v>854</v>
      </c>
    </row>
    <row r="393" customFormat="false" ht="15" hidden="false" customHeight="false" outlineLevel="0" collapsed="false">
      <c r="A393" s="8" t="s">
        <v>1840</v>
      </c>
      <c r="B393" s="8" t="s">
        <v>1841</v>
      </c>
      <c r="C393" s="8" t="n">
        <v>2024</v>
      </c>
      <c r="D393" s="8" t="s">
        <v>58</v>
      </c>
      <c r="E393" s="8"/>
      <c r="F393" s="8" t="s">
        <v>782</v>
      </c>
      <c r="G393" s="8" t="s">
        <v>783</v>
      </c>
      <c r="H393" s="8" t="s">
        <v>861</v>
      </c>
    </row>
    <row r="394" customFormat="false" ht="15" hidden="false" customHeight="false" outlineLevel="0" collapsed="false">
      <c r="A394" s="8" t="s">
        <v>1842</v>
      </c>
      <c r="B394" s="8" t="s">
        <v>1843</v>
      </c>
      <c r="C394" s="8" t="n">
        <v>2025</v>
      </c>
      <c r="D394" s="8" t="s">
        <v>58</v>
      </c>
      <c r="E394" s="8" t="s">
        <v>1844</v>
      </c>
      <c r="F394" s="8" t="s">
        <v>782</v>
      </c>
      <c r="G394" s="8" t="s">
        <v>783</v>
      </c>
      <c r="H394" s="8" t="s">
        <v>784</v>
      </c>
    </row>
    <row r="395" customFormat="false" ht="15" hidden="false" customHeight="false" outlineLevel="0" collapsed="false">
      <c r="A395" s="8" t="s">
        <v>1845</v>
      </c>
      <c r="B395" s="8" t="s">
        <v>1846</v>
      </c>
      <c r="C395" s="8" t="n">
        <v>2024</v>
      </c>
      <c r="D395" s="8" t="s">
        <v>58</v>
      </c>
      <c r="E395" s="8" t="s">
        <v>1847</v>
      </c>
      <c r="F395" s="8" t="s">
        <v>782</v>
      </c>
      <c r="G395" s="8" t="s">
        <v>783</v>
      </c>
      <c r="H395" s="8" t="s">
        <v>784</v>
      </c>
    </row>
    <row r="396" customFormat="false" ht="15" hidden="false" customHeight="false" outlineLevel="0" collapsed="false">
      <c r="A396" s="8" t="s">
        <v>1848</v>
      </c>
      <c r="B396" s="8" t="s">
        <v>1849</v>
      </c>
      <c r="C396" s="8" t="n">
        <v>2026</v>
      </c>
      <c r="D396" s="8" t="s">
        <v>58</v>
      </c>
      <c r="E396" s="8" t="s">
        <v>1850</v>
      </c>
      <c r="F396" s="8" t="s">
        <v>782</v>
      </c>
      <c r="G396" s="8" t="s">
        <v>783</v>
      </c>
      <c r="H396" s="8" t="s">
        <v>784</v>
      </c>
    </row>
    <row r="397" customFormat="false" ht="15" hidden="false" customHeight="false" outlineLevel="0" collapsed="false">
      <c r="A397" s="8" t="s">
        <v>1851</v>
      </c>
      <c r="B397" s="8" t="s">
        <v>1852</v>
      </c>
      <c r="C397" s="8" t="n">
        <v>2025</v>
      </c>
      <c r="D397" s="8" t="s">
        <v>58</v>
      </c>
      <c r="E397" s="8" t="s">
        <v>1853</v>
      </c>
      <c r="F397" s="8" t="s">
        <v>782</v>
      </c>
      <c r="G397" s="8" t="s">
        <v>783</v>
      </c>
      <c r="H397" s="8" t="s">
        <v>861</v>
      </c>
    </row>
    <row r="398" customFormat="false" ht="15" hidden="false" customHeight="false" outlineLevel="0" collapsed="false">
      <c r="A398" s="8" t="s">
        <v>1854</v>
      </c>
      <c r="B398" s="8" t="s">
        <v>1855</v>
      </c>
      <c r="C398" s="8" t="n">
        <v>2025</v>
      </c>
      <c r="D398" s="8" t="s">
        <v>83</v>
      </c>
      <c r="E398" s="8" t="s">
        <v>1856</v>
      </c>
      <c r="F398" s="8" t="s">
        <v>782</v>
      </c>
      <c r="G398" s="8" t="s">
        <v>821</v>
      </c>
      <c r="H398" s="8" t="s">
        <v>822</v>
      </c>
    </row>
    <row r="399" customFormat="false" ht="15" hidden="false" customHeight="false" outlineLevel="0" collapsed="false">
      <c r="A399" s="8" t="s">
        <v>1857</v>
      </c>
      <c r="B399" s="8" t="s">
        <v>1858</v>
      </c>
      <c r="C399" s="8" t="n">
        <v>2025</v>
      </c>
      <c r="D399" s="8" t="s">
        <v>58</v>
      </c>
      <c r="E399" s="8" t="s">
        <v>1859</v>
      </c>
      <c r="F399" s="8" t="s">
        <v>782</v>
      </c>
      <c r="G399" s="8" t="s">
        <v>783</v>
      </c>
      <c r="H399" s="8" t="s">
        <v>784</v>
      </c>
    </row>
    <row r="400" customFormat="false" ht="15" hidden="false" customHeight="false" outlineLevel="0" collapsed="false">
      <c r="A400" s="8" t="s">
        <v>1860</v>
      </c>
      <c r="B400" s="8" t="s">
        <v>1861</v>
      </c>
      <c r="C400" s="8" t="n">
        <v>2026</v>
      </c>
      <c r="D400" s="8" t="s">
        <v>58</v>
      </c>
      <c r="E400" s="8" t="s">
        <v>1862</v>
      </c>
      <c r="F400" s="8" t="s">
        <v>782</v>
      </c>
      <c r="G400" s="8" t="s">
        <v>895</v>
      </c>
      <c r="H400" s="8" t="s">
        <v>896</v>
      </c>
    </row>
    <row r="401" customFormat="false" ht="15" hidden="false" customHeight="false" outlineLevel="0" collapsed="false">
      <c r="A401" s="8" t="s">
        <v>1863</v>
      </c>
      <c r="B401" s="8" t="s">
        <v>1864</v>
      </c>
      <c r="C401" s="8" t="n">
        <v>2026</v>
      </c>
      <c r="D401" s="8" t="s">
        <v>58</v>
      </c>
      <c r="E401" s="8" t="s">
        <v>1865</v>
      </c>
      <c r="F401" s="8" t="s">
        <v>782</v>
      </c>
      <c r="G401" s="8" t="s">
        <v>783</v>
      </c>
      <c r="H401" s="8" t="s">
        <v>861</v>
      </c>
    </row>
    <row r="402" customFormat="false" ht="15" hidden="false" customHeight="false" outlineLevel="0" collapsed="false">
      <c r="A402" s="8" t="s">
        <v>1866</v>
      </c>
      <c r="B402" s="8" t="s">
        <v>1867</v>
      </c>
      <c r="C402" s="8" t="n">
        <v>2025</v>
      </c>
      <c r="D402" s="8" t="s">
        <v>58</v>
      </c>
      <c r="E402" s="8" t="s">
        <v>1868</v>
      </c>
      <c r="F402" s="8" t="s">
        <v>782</v>
      </c>
      <c r="G402" s="8" t="s">
        <v>783</v>
      </c>
      <c r="H402" s="8" t="s">
        <v>784</v>
      </c>
    </row>
    <row r="403" customFormat="false" ht="15" hidden="false" customHeight="false" outlineLevel="0" collapsed="false">
      <c r="A403" s="8" t="s">
        <v>1869</v>
      </c>
      <c r="B403" s="8" t="s">
        <v>1870</v>
      </c>
      <c r="C403" s="8" t="n">
        <v>2024</v>
      </c>
      <c r="D403" s="8" t="s">
        <v>58</v>
      </c>
      <c r="E403" s="8" t="s">
        <v>1871</v>
      </c>
      <c r="F403" s="8" t="s">
        <v>782</v>
      </c>
      <c r="G403" s="8" t="s">
        <v>783</v>
      </c>
      <c r="H403" s="8" t="s">
        <v>784</v>
      </c>
    </row>
    <row r="404" customFormat="false" ht="15" hidden="false" customHeight="false" outlineLevel="0" collapsed="false">
      <c r="A404" s="8" t="s">
        <v>1872</v>
      </c>
      <c r="B404" s="8" t="s">
        <v>1873</v>
      </c>
      <c r="C404" s="8" t="n">
        <v>2025</v>
      </c>
      <c r="D404" s="8" t="s">
        <v>58</v>
      </c>
      <c r="E404" s="8" t="s">
        <v>1874</v>
      </c>
      <c r="F404" s="8" t="s">
        <v>782</v>
      </c>
      <c r="G404" s="8" t="s">
        <v>783</v>
      </c>
      <c r="H404" s="8" t="s">
        <v>784</v>
      </c>
    </row>
    <row r="405" customFormat="false" ht="15" hidden="false" customHeight="false" outlineLevel="0" collapsed="false">
      <c r="A405" s="8" t="s">
        <v>1875</v>
      </c>
      <c r="B405" s="8" t="s">
        <v>1876</v>
      </c>
      <c r="C405" s="8" t="n">
        <v>2026</v>
      </c>
      <c r="D405" s="8" t="s">
        <v>58</v>
      </c>
      <c r="E405" s="8" t="s">
        <v>1877</v>
      </c>
      <c r="F405" s="8" t="s">
        <v>782</v>
      </c>
      <c r="G405" s="8" t="s">
        <v>783</v>
      </c>
      <c r="H405" s="8" t="s">
        <v>784</v>
      </c>
    </row>
    <row r="406" customFormat="false" ht="15" hidden="false" customHeight="false" outlineLevel="0" collapsed="false">
      <c r="A406" s="8" t="s">
        <v>1878</v>
      </c>
      <c r="B406" s="8" t="s">
        <v>1879</v>
      </c>
      <c r="C406" s="8" t="n">
        <v>2025</v>
      </c>
      <c r="D406" s="8" t="s">
        <v>58</v>
      </c>
      <c r="E406" s="8" t="s">
        <v>1880</v>
      </c>
      <c r="F406" s="8" t="s">
        <v>782</v>
      </c>
      <c r="G406" s="8" t="s">
        <v>783</v>
      </c>
      <c r="H406" s="8" t="s">
        <v>784</v>
      </c>
    </row>
    <row r="407" customFormat="false" ht="15" hidden="false" customHeight="false" outlineLevel="0" collapsed="false">
      <c r="A407" s="8" t="s">
        <v>1881</v>
      </c>
      <c r="B407" s="8" t="s">
        <v>1882</v>
      </c>
      <c r="C407" s="8" t="n">
        <v>2026</v>
      </c>
      <c r="D407" s="8" t="s">
        <v>58</v>
      </c>
      <c r="E407" s="8" t="s">
        <v>1883</v>
      </c>
      <c r="F407" s="8" t="s">
        <v>782</v>
      </c>
      <c r="G407" s="8" t="s">
        <v>783</v>
      </c>
      <c r="H407" s="8" t="s">
        <v>784</v>
      </c>
    </row>
    <row r="408" customFormat="false" ht="15" hidden="false" customHeight="false" outlineLevel="0" collapsed="false">
      <c r="A408" s="8" t="s">
        <v>1884</v>
      </c>
      <c r="B408" s="8" t="s">
        <v>1885</v>
      </c>
      <c r="C408" s="8" t="n">
        <v>2024</v>
      </c>
      <c r="D408" s="8" t="s">
        <v>58</v>
      </c>
      <c r="E408" s="8" t="s">
        <v>1886</v>
      </c>
      <c r="F408" s="8" t="s">
        <v>782</v>
      </c>
      <c r="G408" s="8" t="s">
        <v>788</v>
      </c>
      <c r="H408" s="8" t="s">
        <v>789</v>
      </c>
    </row>
    <row r="409" customFormat="false" ht="15" hidden="false" customHeight="false" outlineLevel="0" collapsed="false">
      <c r="A409" s="8" t="s">
        <v>1887</v>
      </c>
      <c r="B409" s="8" t="s">
        <v>1888</v>
      </c>
      <c r="C409" s="8" t="n">
        <v>2025</v>
      </c>
      <c r="D409" s="8" t="s">
        <v>58</v>
      </c>
      <c r="E409" s="8" t="s">
        <v>1889</v>
      </c>
      <c r="F409" s="8" t="s">
        <v>782</v>
      </c>
      <c r="G409" s="8" t="s">
        <v>895</v>
      </c>
      <c r="H409" s="8" t="s">
        <v>896</v>
      </c>
    </row>
    <row r="410" customFormat="false" ht="15" hidden="false" customHeight="false" outlineLevel="0" collapsed="false">
      <c r="A410" s="8" t="s">
        <v>1890</v>
      </c>
      <c r="B410" s="8" t="s">
        <v>1891</v>
      </c>
      <c r="C410" s="8" t="n">
        <v>2024</v>
      </c>
      <c r="D410" s="8" t="s">
        <v>83</v>
      </c>
      <c r="E410" s="8" t="s">
        <v>1892</v>
      </c>
      <c r="F410" s="8" t="s">
        <v>782</v>
      </c>
      <c r="G410" s="8" t="s">
        <v>788</v>
      </c>
      <c r="H410" s="8" t="s">
        <v>789</v>
      </c>
    </row>
    <row r="411" customFormat="false" ht="15" hidden="false" customHeight="false" outlineLevel="0" collapsed="false">
      <c r="A411" s="8" t="s">
        <v>1893</v>
      </c>
      <c r="B411" s="8" t="s">
        <v>1894</v>
      </c>
      <c r="C411" s="8" t="n">
        <v>2025</v>
      </c>
      <c r="D411" s="8" t="s">
        <v>83</v>
      </c>
      <c r="E411" s="8" t="s">
        <v>1895</v>
      </c>
      <c r="F411" s="8" t="s">
        <v>782</v>
      </c>
      <c r="G411" s="8" t="s">
        <v>966</v>
      </c>
      <c r="H411" s="8" t="s">
        <v>967</v>
      </c>
    </row>
    <row r="412" customFormat="false" ht="15" hidden="false" customHeight="false" outlineLevel="0" collapsed="false">
      <c r="A412" s="8" t="s">
        <v>282</v>
      </c>
      <c r="B412" s="8" t="s">
        <v>284</v>
      </c>
      <c r="C412" s="8" t="n">
        <v>2024</v>
      </c>
      <c r="D412" s="8" t="s">
        <v>58</v>
      </c>
      <c r="E412" s="8" t="s">
        <v>286</v>
      </c>
      <c r="F412" s="8" t="s">
        <v>852</v>
      </c>
      <c r="G412" s="8" t="s">
        <v>853</v>
      </c>
      <c r="H412" s="8" t="s">
        <v>854</v>
      </c>
    </row>
    <row r="413" customFormat="false" ht="15" hidden="false" customHeight="false" outlineLevel="0" collapsed="false">
      <c r="A413" s="8" t="s">
        <v>1896</v>
      </c>
      <c r="B413" s="8" t="s">
        <v>1897</v>
      </c>
      <c r="C413" s="8" t="n">
        <v>2024</v>
      </c>
      <c r="D413" s="8" t="s">
        <v>58</v>
      </c>
      <c r="E413" s="8" t="s">
        <v>1898</v>
      </c>
      <c r="F413" s="8" t="s">
        <v>782</v>
      </c>
      <c r="G413" s="8" t="s">
        <v>783</v>
      </c>
      <c r="H413" s="8" t="s">
        <v>784</v>
      </c>
    </row>
    <row r="414" customFormat="false" ht="15" hidden="false" customHeight="false" outlineLevel="0" collapsed="false">
      <c r="A414" s="8" t="s">
        <v>1899</v>
      </c>
      <c r="B414" s="8" t="s">
        <v>1900</v>
      </c>
      <c r="C414" s="8" t="n">
        <v>2024</v>
      </c>
      <c r="D414" s="8" t="s">
        <v>58</v>
      </c>
      <c r="E414" s="8" t="s">
        <v>1901</v>
      </c>
      <c r="F414" s="8" t="s">
        <v>782</v>
      </c>
      <c r="G414" s="8" t="s">
        <v>783</v>
      </c>
      <c r="H414" s="8" t="s">
        <v>784</v>
      </c>
    </row>
    <row r="415" customFormat="false" ht="15" hidden="false" customHeight="false" outlineLevel="0" collapsed="false">
      <c r="A415" s="8" t="s">
        <v>1902</v>
      </c>
      <c r="B415" s="8" t="s">
        <v>1903</v>
      </c>
      <c r="C415" s="8" t="n">
        <v>2025</v>
      </c>
      <c r="D415" s="8" t="s">
        <v>83</v>
      </c>
      <c r="E415" s="8" t="s">
        <v>1904</v>
      </c>
      <c r="F415" s="8" t="s">
        <v>782</v>
      </c>
      <c r="G415" s="8" t="s">
        <v>783</v>
      </c>
      <c r="H415" s="8" t="s">
        <v>784</v>
      </c>
    </row>
    <row r="416" customFormat="false" ht="15" hidden="false" customHeight="false" outlineLevel="0" collapsed="false">
      <c r="A416" s="8" t="s">
        <v>1905</v>
      </c>
      <c r="B416" s="8" t="s">
        <v>1906</v>
      </c>
      <c r="C416" s="8" t="n">
        <v>2025</v>
      </c>
      <c r="D416" s="8" t="s">
        <v>58</v>
      </c>
      <c r="E416" s="8" t="s">
        <v>1907</v>
      </c>
      <c r="F416" s="8" t="s">
        <v>782</v>
      </c>
      <c r="G416" s="8" t="s">
        <v>783</v>
      </c>
      <c r="H416" s="8" t="s">
        <v>784</v>
      </c>
    </row>
    <row r="417" customFormat="false" ht="15" hidden="false" customHeight="false" outlineLevel="0" collapsed="false">
      <c r="A417" s="8" t="s">
        <v>113</v>
      </c>
      <c r="B417" s="8" t="s">
        <v>115</v>
      </c>
      <c r="C417" s="8" t="n">
        <v>2026</v>
      </c>
      <c r="D417" s="8" t="s">
        <v>83</v>
      </c>
      <c r="E417" s="8" t="s">
        <v>117</v>
      </c>
      <c r="F417" s="8" t="s">
        <v>852</v>
      </c>
      <c r="G417" s="8" t="s">
        <v>853</v>
      </c>
      <c r="H417" s="8" t="s">
        <v>854</v>
      </c>
    </row>
    <row r="418" customFormat="false" ht="15" hidden="false" customHeight="false" outlineLevel="0" collapsed="false">
      <c r="A418" s="8" t="s">
        <v>1908</v>
      </c>
      <c r="B418" s="8" t="s">
        <v>1909</v>
      </c>
      <c r="C418" s="8" t="n">
        <v>2024</v>
      </c>
      <c r="D418" s="8" t="s">
        <v>58</v>
      </c>
      <c r="E418" s="8" t="s">
        <v>1910</v>
      </c>
      <c r="F418" s="8" t="s">
        <v>782</v>
      </c>
      <c r="G418" s="8" t="s">
        <v>801</v>
      </c>
      <c r="H418" s="8" t="s">
        <v>802</v>
      </c>
    </row>
    <row r="419" customFormat="false" ht="15" hidden="false" customHeight="false" outlineLevel="0" collapsed="false">
      <c r="A419" s="8" t="s">
        <v>1911</v>
      </c>
      <c r="B419" s="8" t="s">
        <v>1912</v>
      </c>
      <c r="C419" s="8" t="n">
        <v>2025</v>
      </c>
      <c r="D419" s="8" t="s">
        <v>90</v>
      </c>
      <c r="E419" s="8" t="s">
        <v>1913</v>
      </c>
      <c r="F419" s="8" t="s">
        <v>782</v>
      </c>
      <c r="G419" s="8" t="s">
        <v>783</v>
      </c>
      <c r="H419" s="8" t="s">
        <v>784</v>
      </c>
    </row>
    <row r="420" customFormat="false" ht="15" hidden="false" customHeight="false" outlineLevel="0" collapsed="false">
      <c r="A420" s="8" t="s">
        <v>1914</v>
      </c>
      <c r="B420" s="8" t="s">
        <v>1915</v>
      </c>
      <c r="C420" s="8" t="n">
        <v>2025</v>
      </c>
      <c r="D420" s="8" t="s">
        <v>58</v>
      </c>
      <c r="E420" s="8" t="s">
        <v>1916</v>
      </c>
      <c r="F420" s="8" t="s">
        <v>782</v>
      </c>
      <c r="G420" s="8" t="s">
        <v>783</v>
      </c>
      <c r="H420" s="8" t="s">
        <v>784</v>
      </c>
    </row>
    <row r="421" customFormat="false" ht="15" hidden="false" customHeight="false" outlineLevel="0" collapsed="false">
      <c r="A421" s="8" t="s">
        <v>1917</v>
      </c>
      <c r="B421" s="8" t="s">
        <v>1918</v>
      </c>
      <c r="C421" s="8" t="n">
        <v>2024</v>
      </c>
      <c r="D421" s="8" t="s">
        <v>58</v>
      </c>
      <c r="E421" s="8" t="s">
        <v>1919</v>
      </c>
      <c r="F421" s="8" t="s">
        <v>782</v>
      </c>
      <c r="G421" s="8" t="s">
        <v>783</v>
      </c>
      <c r="H421" s="8" t="s">
        <v>784</v>
      </c>
    </row>
    <row r="422" customFormat="false" ht="15" hidden="false" customHeight="false" outlineLevel="0" collapsed="false">
      <c r="A422" s="8" t="s">
        <v>1920</v>
      </c>
      <c r="B422" s="8" t="s">
        <v>1921</v>
      </c>
      <c r="C422" s="8" t="n">
        <v>2025</v>
      </c>
      <c r="D422" s="8" t="s">
        <v>58</v>
      </c>
      <c r="E422" s="8" t="s">
        <v>1922</v>
      </c>
      <c r="F422" s="8" t="s">
        <v>782</v>
      </c>
      <c r="G422" s="8" t="s">
        <v>783</v>
      </c>
      <c r="H422" s="8" t="s">
        <v>784</v>
      </c>
    </row>
    <row r="423" customFormat="false" ht="15" hidden="false" customHeight="false" outlineLevel="0" collapsed="false">
      <c r="A423" s="8" t="s">
        <v>1923</v>
      </c>
      <c r="B423" s="8" t="s">
        <v>1924</v>
      </c>
      <c r="C423" s="8" t="n">
        <v>2025</v>
      </c>
      <c r="D423" s="8" t="s">
        <v>58</v>
      </c>
      <c r="E423" s="8" t="s">
        <v>1925</v>
      </c>
      <c r="F423" s="8" t="s">
        <v>782</v>
      </c>
      <c r="G423" s="8" t="s">
        <v>783</v>
      </c>
      <c r="H423" s="8" t="s">
        <v>784</v>
      </c>
    </row>
    <row r="424" customFormat="false" ht="15" hidden="false" customHeight="false" outlineLevel="0" collapsed="false">
      <c r="A424" s="8" t="s">
        <v>1926</v>
      </c>
      <c r="B424" s="8" t="s">
        <v>1927</v>
      </c>
      <c r="C424" s="8" t="n">
        <v>2024</v>
      </c>
      <c r="D424" s="8" t="s">
        <v>74</v>
      </c>
      <c r="E424" s="8" t="s">
        <v>1928</v>
      </c>
      <c r="F424" s="8" t="s">
        <v>782</v>
      </c>
      <c r="G424" s="8" t="s">
        <v>895</v>
      </c>
      <c r="H424" s="8" t="s">
        <v>896</v>
      </c>
    </row>
    <row r="425" customFormat="false" ht="15" hidden="false" customHeight="false" outlineLevel="0" collapsed="false">
      <c r="A425" s="8" t="s">
        <v>156</v>
      </c>
      <c r="B425" s="8" t="s">
        <v>158</v>
      </c>
      <c r="C425" s="8" t="n">
        <v>2025</v>
      </c>
      <c r="D425" s="8" t="s">
        <v>83</v>
      </c>
      <c r="E425" s="8" t="s">
        <v>160</v>
      </c>
      <c r="F425" s="8" t="s">
        <v>852</v>
      </c>
      <c r="G425" s="8" t="s">
        <v>853</v>
      </c>
      <c r="H425" s="8" t="s">
        <v>854</v>
      </c>
    </row>
    <row r="426" customFormat="false" ht="15" hidden="false" customHeight="false" outlineLevel="0" collapsed="false">
      <c r="A426" s="8" t="s">
        <v>1929</v>
      </c>
      <c r="B426" s="8" t="s">
        <v>1930</v>
      </c>
      <c r="C426" s="8" t="n">
        <v>2026</v>
      </c>
      <c r="D426" s="8" t="s">
        <v>58</v>
      </c>
      <c r="E426" s="8" t="s">
        <v>1931</v>
      </c>
      <c r="F426" s="8" t="s">
        <v>782</v>
      </c>
      <c r="G426" s="8" t="s">
        <v>783</v>
      </c>
      <c r="H426" s="8" t="s">
        <v>784</v>
      </c>
    </row>
    <row r="427" customFormat="false" ht="15" hidden="false" customHeight="false" outlineLevel="0" collapsed="false">
      <c r="A427" s="8" t="s">
        <v>1932</v>
      </c>
      <c r="B427" s="8" t="s">
        <v>1933</v>
      </c>
      <c r="C427" s="8" t="n">
        <v>2025</v>
      </c>
      <c r="D427" s="8" t="s">
        <v>58</v>
      </c>
      <c r="E427" s="8" t="s">
        <v>1934</v>
      </c>
      <c r="F427" s="8" t="s">
        <v>782</v>
      </c>
      <c r="G427" s="8" t="s">
        <v>783</v>
      </c>
      <c r="H427" s="8" t="s">
        <v>861</v>
      </c>
    </row>
    <row r="428" customFormat="false" ht="15" hidden="false" customHeight="false" outlineLevel="0" collapsed="false">
      <c r="A428" s="8" t="s">
        <v>1935</v>
      </c>
      <c r="B428" s="8" t="s">
        <v>1936</v>
      </c>
      <c r="C428" s="8" t="n">
        <v>2026</v>
      </c>
      <c r="D428" s="8" t="s">
        <v>90</v>
      </c>
      <c r="E428" s="8" t="s">
        <v>1937</v>
      </c>
      <c r="F428" s="8" t="s">
        <v>782</v>
      </c>
      <c r="G428" s="8" t="s">
        <v>783</v>
      </c>
      <c r="H428" s="8" t="s">
        <v>784</v>
      </c>
    </row>
    <row r="429" customFormat="false" ht="15" hidden="false" customHeight="false" outlineLevel="0" collapsed="false">
      <c r="A429" s="8" t="s">
        <v>1938</v>
      </c>
      <c r="B429" s="8" t="s">
        <v>1939</v>
      </c>
      <c r="C429" s="8" t="n">
        <v>2025</v>
      </c>
      <c r="D429" s="8" t="s">
        <v>58</v>
      </c>
      <c r="E429" s="8" t="s">
        <v>1940</v>
      </c>
      <c r="F429" s="8" t="s">
        <v>782</v>
      </c>
      <c r="G429" s="8" t="s">
        <v>783</v>
      </c>
      <c r="H429" s="8" t="s">
        <v>784</v>
      </c>
    </row>
    <row r="430" customFormat="false" ht="15" hidden="false" customHeight="false" outlineLevel="0" collapsed="false">
      <c r="A430" s="8" t="s">
        <v>1941</v>
      </c>
      <c r="B430" s="8" t="s">
        <v>1942</v>
      </c>
      <c r="C430" s="8" t="n">
        <v>2025</v>
      </c>
      <c r="D430" s="8" t="s">
        <v>58</v>
      </c>
      <c r="E430" s="8" t="s">
        <v>1943</v>
      </c>
      <c r="F430" s="8" t="s">
        <v>782</v>
      </c>
      <c r="G430" s="8" t="s">
        <v>783</v>
      </c>
      <c r="H430" s="8" t="s">
        <v>784</v>
      </c>
    </row>
    <row r="431" customFormat="false" ht="15" hidden="false" customHeight="false" outlineLevel="0" collapsed="false">
      <c r="A431" s="8" t="s">
        <v>1944</v>
      </c>
      <c r="B431" s="8" t="s">
        <v>1945</v>
      </c>
      <c r="C431" s="8" t="n">
        <v>2025</v>
      </c>
      <c r="D431" s="8" t="s">
        <v>83</v>
      </c>
      <c r="E431" s="8" t="s">
        <v>1946</v>
      </c>
      <c r="F431" s="8" t="s">
        <v>782</v>
      </c>
      <c r="G431" s="8" t="s">
        <v>783</v>
      </c>
      <c r="H431" s="8" t="s">
        <v>784</v>
      </c>
    </row>
    <row r="432" customFormat="false" ht="15" hidden="false" customHeight="false" outlineLevel="0" collapsed="false">
      <c r="A432" s="8" t="s">
        <v>1947</v>
      </c>
      <c r="B432" s="8" t="s">
        <v>1948</v>
      </c>
      <c r="C432" s="8" t="n">
        <v>2025</v>
      </c>
      <c r="D432" s="8" t="s">
        <v>58</v>
      </c>
      <c r="E432" s="8" t="s">
        <v>1949</v>
      </c>
      <c r="F432" s="8" t="s">
        <v>782</v>
      </c>
      <c r="G432" s="8" t="s">
        <v>783</v>
      </c>
      <c r="H432" s="8" t="s">
        <v>784</v>
      </c>
    </row>
    <row r="433" customFormat="false" ht="15" hidden="false" customHeight="false" outlineLevel="0" collapsed="false">
      <c r="A433" s="8" t="s">
        <v>1950</v>
      </c>
      <c r="B433" s="8" t="s">
        <v>1951</v>
      </c>
      <c r="C433" s="8" t="n">
        <v>2025</v>
      </c>
      <c r="D433" s="8" t="s">
        <v>58</v>
      </c>
      <c r="E433" s="8" t="s">
        <v>1952</v>
      </c>
      <c r="F433" s="8" t="s">
        <v>782</v>
      </c>
      <c r="G433" s="8" t="s">
        <v>895</v>
      </c>
      <c r="H433" s="8" t="s">
        <v>896</v>
      </c>
    </row>
    <row r="434" customFormat="false" ht="15" hidden="false" customHeight="false" outlineLevel="0" collapsed="false">
      <c r="A434" s="8" t="s">
        <v>300</v>
      </c>
      <c r="B434" s="8" t="s">
        <v>302</v>
      </c>
      <c r="C434" s="8" t="n">
        <v>2024</v>
      </c>
      <c r="D434" s="8" t="s">
        <v>58</v>
      </c>
      <c r="E434" s="8" t="s">
        <v>303</v>
      </c>
      <c r="F434" s="8" t="s">
        <v>852</v>
      </c>
      <c r="G434" s="8" t="s">
        <v>853</v>
      </c>
      <c r="H434" s="8" t="s">
        <v>854</v>
      </c>
    </row>
    <row r="435" customFormat="false" ht="15" hidden="false" customHeight="false" outlineLevel="0" collapsed="false">
      <c r="A435" s="8" t="s">
        <v>1953</v>
      </c>
      <c r="B435" s="8" t="s">
        <v>1954</v>
      </c>
      <c r="C435" s="8" t="n">
        <v>2025</v>
      </c>
      <c r="D435" s="8" t="s">
        <v>58</v>
      </c>
      <c r="E435" s="8" t="s">
        <v>1955</v>
      </c>
      <c r="F435" s="8" t="s">
        <v>782</v>
      </c>
      <c r="G435" s="8" t="s">
        <v>801</v>
      </c>
      <c r="H435" s="8" t="s">
        <v>802</v>
      </c>
    </row>
    <row r="436" customFormat="false" ht="15" hidden="false" customHeight="false" outlineLevel="0" collapsed="false">
      <c r="A436" s="8" t="s">
        <v>1956</v>
      </c>
      <c r="B436" s="8" t="s">
        <v>1957</v>
      </c>
      <c r="C436" s="8" t="n">
        <v>2025</v>
      </c>
      <c r="D436" s="8" t="s">
        <v>58</v>
      </c>
      <c r="E436" s="8" t="s">
        <v>1958</v>
      </c>
      <c r="F436" s="8" t="s">
        <v>782</v>
      </c>
      <c r="G436" s="8" t="s">
        <v>783</v>
      </c>
      <c r="H436" s="8" t="s">
        <v>784</v>
      </c>
    </row>
    <row r="437" customFormat="false" ht="15" hidden="false" customHeight="false" outlineLevel="0" collapsed="false">
      <c r="A437" s="8" t="s">
        <v>1959</v>
      </c>
      <c r="B437" s="8" t="s">
        <v>1960</v>
      </c>
      <c r="C437" s="8" t="n">
        <v>2024</v>
      </c>
      <c r="D437" s="8" t="s">
        <v>58</v>
      </c>
      <c r="E437" s="8" t="s">
        <v>1961</v>
      </c>
      <c r="F437" s="8" t="s">
        <v>782</v>
      </c>
      <c r="G437" s="8" t="s">
        <v>783</v>
      </c>
      <c r="H437" s="8" t="s">
        <v>784</v>
      </c>
    </row>
    <row r="438" customFormat="false" ht="15" hidden="false" customHeight="false" outlineLevel="0" collapsed="false">
      <c r="A438" s="8" t="s">
        <v>1962</v>
      </c>
      <c r="B438" s="8" t="s">
        <v>1963</v>
      </c>
      <c r="C438" s="8" t="n">
        <v>2024</v>
      </c>
      <c r="D438" s="8" t="s">
        <v>58</v>
      </c>
      <c r="E438" s="8" t="s">
        <v>1964</v>
      </c>
      <c r="F438" s="8" t="s">
        <v>782</v>
      </c>
      <c r="G438" s="8" t="s">
        <v>783</v>
      </c>
      <c r="H438" s="8" t="s">
        <v>784</v>
      </c>
    </row>
    <row r="439" customFormat="false" ht="15" hidden="false" customHeight="false" outlineLevel="0" collapsed="false">
      <c r="A439" s="8" t="s">
        <v>1965</v>
      </c>
      <c r="B439" s="8" t="s">
        <v>1966</v>
      </c>
      <c r="C439" s="8" t="n">
        <v>2025</v>
      </c>
      <c r="D439" s="8" t="s">
        <v>90</v>
      </c>
      <c r="E439" s="8" t="s">
        <v>1967</v>
      </c>
      <c r="F439" s="8" t="s">
        <v>782</v>
      </c>
      <c r="G439" s="8" t="s">
        <v>783</v>
      </c>
      <c r="H439" s="8" t="s">
        <v>784</v>
      </c>
    </row>
    <row r="440" customFormat="false" ht="15" hidden="false" customHeight="false" outlineLevel="0" collapsed="false">
      <c r="A440" s="8" t="s">
        <v>271</v>
      </c>
      <c r="B440" s="8" t="s">
        <v>273</v>
      </c>
      <c r="C440" s="8" t="n">
        <v>2025</v>
      </c>
      <c r="D440" s="8" t="s">
        <v>58</v>
      </c>
      <c r="E440" s="8" t="s">
        <v>275</v>
      </c>
      <c r="F440" s="8" t="s">
        <v>852</v>
      </c>
      <c r="G440" s="8" t="s">
        <v>853</v>
      </c>
      <c r="H440" s="8" t="s">
        <v>854</v>
      </c>
    </row>
    <row r="441" customFormat="false" ht="15" hidden="false" customHeight="false" outlineLevel="0" collapsed="false">
      <c r="A441" s="8" t="s">
        <v>54</v>
      </c>
      <c r="B441" s="8" t="s">
        <v>56</v>
      </c>
      <c r="C441" s="8" t="n">
        <v>2026</v>
      </c>
      <c r="D441" s="8" t="s">
        <v>58</v>
      </c>
      <c r="E441" s="8" t="s">
        <v>59</v>
      </c>
      <c r="F441" s="8" t="s">
        <v>852</v>
      </c>
      <c r="G441" s="8" t="s">
        <v>853</v>
      </c>
      <c r="H441" s="8" t="s">
        <v>854</v>
      </c>
    </row>
    <row r="442" customFormat="false" ht="15" hidden="false" customHeight="false" outlineLevel="0" collapsed="false">
      <c r="A442" s="8" t="s">
        <v>1968</v>
      </c>
      <c r="B442" s="8" t="s">
        <v>1969</v>
      </c>
      <c r="C442" s="8" t="n">
        <v>2025</v>
      </c>
      <c r="D442" s="8" t="s">
        <v>58</v>
      </c>
      <c r="E442" s="8" t="s">
        <v>1970</v>
      </c>
      <c r="F442" s="8" t="s">
        <v>782</v>
      </c>
      <c r="G442" s="8" t="s">
        <v>783</v>
      </c>
      <c r="H442" s="8" t="s">
        <v>784</v>
      </c>
    </row>
    <row r="443" customFormat="false" ht="15" hidden="false" customHeight="false" outlineLevel="0" collapsed="false">
      <c r="A443" s="8" t="s">
        <v>1971</v>
      </c>
      <c r="B443" s="8" t="s">
        <v>1972</v>
      </c>
      <c r="C443" s="8" t="n">
        <v>2025</v>
      </c>
      <c r="D443" s="8" t="s">
        <v>58</v>
      </c>
      <c r="E443" s="8" t="s">
        <v>1973</v>
      </c>
      <c r="F443" s="8" t="s">
        <v>782</v>
      </c>
      <c r="G443" s="8" t="s">
        <v>783</v>
      </c>
      <c r="H443" s="8" t="s">
        <v>784</v>
      </c>
    </row>
    <row r="444" customFormat="false" ht="15" hidden="false" customHeight="false" outlineLevel="0" collapsed="false">
      <c r="A444" s="8" t="s">
        <v>1974</v>
      </c>
      <c r="B444" s="8" t="s">
        <v>1975</v>
      </c>
      <c r="C444" s="8" t="n">
        <v>2025</v>
      </c>
      <c r="D444" s="8" t="s">
        <v>58</v>
      </c>
      <c r="E444" s="8" t="s">
        <v>1976</v>
      </c>
      <c r="F444" s="8" t="s">
        <v>782</v>
      </c>
      <c r="G444" s="8" t="s">
        <v>783</v>
      </c>
      <c r="H444" s="8" t="s">
        <v>861</v>
      </c>
    </row>
    <row r="445" customFormat="false" ht="15" hidden="false" customHeight="false" outlineLevel="0" collapsed="false">
      <c r="A445" s="8" t="s">
        <v>1977</v>
      </c>
      <c r="B445" s="8" t="s">
        <v>1978</v>
      </c>
      <c r="C445" s="8" t="n">
        <v>2024</v>
      </c>
      <c r="D445" s="8" t="s">
        <v>83</v>
      </c>
      <c r="E445" s="8" t="s">
        <v>1979</v>
      </c>
      <c r="F445" s="8" t="s">
        <v>782</v>
      </c>
      <c r="G445" s="8" t="s">
        <v>783</v>
      </c>
      <c r="H445" s="8" t="s">
        <v>861</v>
      </c>
    </row>
    <row r="446" customFormat="false" ht="15" hidden="false" customHeight="false" outlineLevel="0" collapsed="false">
      <c r="A446" s="8" t="s">
        <v>1980</v>
      </c>
      <c r="B446" s="8" t="s">
        <v>1981</v>
      </c>
      <c r="C446" s="8" t="n">
        <v>2025</v>
      </c>
      <c r="D446" s="8" t="s">
        <v>83</v>
      </c>
      <c r="E446" s="8" t="s">
        <v>1982</v>
      </c>
      <c r="F446" s="8" t="s">
        <v>782</v>
      </c>
      <c r="G446" s="8" t="s">
        <v>783</v>
      </c>
      <c r="H446" s="8" t="s">
        <v>784</v>
      </c>
    </row>
    <row r="447" customFormat="false" ht="15" hidden="false" customHeight="false" outlineLevel="0" collapsed="false">
      <c r="A447" s="8" t="s">
        <v>1983</v>
      </c>
      <c r="B447" s="8" t="s">
        <v>1984</v>
      </c>
      <c r="C447" s="8" t="n">
        <v>2024</v>
      </c>
      <c r="D447" s="8" t="s">
        <v>83</v>
      </c>
      <c r="E447" s="8" t="s">
        <v>1985</v>
      </c>
      <c r="F447" s="8" t="s">
        <v>782</v>
      </c>
      <c r="G447" s="8" t="s">
        <v>783</v>
      </c>
      <c r="H447" s="8" t="s">
        <v>784</v>
      </c>
    </row>
    <row r="448" customFormat="false" ht="15" hidden="false" customHeight="false" outlineLevel="0" collapsed="false">
      <c r="A448" s="8" t="s">
        <v>1986</v>
      </c>
      <c r="B448" s="8" t="s">
        <v>1987</v>
      </c>
      <c r="C448" s="8" t="n">
        <v>2026</v>
      </c>
      <c r="D448" s="8" t="s">
        <v>58</v>
      </c>
      <c r="E448" s="8" t="s">
        <v>1988</v>
      </c>
      <c r="F448" s="8" t="s">
        <v>782</v>
      </c>
      <c r="G448" s="8" t="s">
        <v>801</v>
      </c>
      <c r="H448" s="8" t="s">
        <v>802</v>
      </c>
    </row>
    <row r="449" customFormat="false" ht="15" hidden="false" customHeight="false" outlineLevel="0" collapsed="false">
      <c r="A449" s="8" t="s">
        <v>1989</v>
      </c>
      <c r="B449" s="8" t="s">
        <v>1990</v>
      </c>
      <c r="C449" s="8" t="n">
        <v>2025</v>
      </c>
      <c r="D449" s="8" t="s">
        <v>58</v>
      </c>
      <c r="E449" s="8" t="s">
        <v>1991</v>
      </c>
      <c r="F449" s="8" t="s">
        <v>782</v>
      </c>
      <c r="G449" s="8" t="s">
        <v>801</v>
      </c>
      <c r="H449" s="8" t="s">
        <v>802</v>
      </c>
    </row>
    <row r="450" customFormat="false" ht="15" hidden="false" customHeight="false" outlineLevel="0" collapsed="false">
      <c r="A450" s="8" t="s">
        <v>1992</v>
      </c>
      <c r="B450" s="8" t="s">
        <v>1993</v>
      </c>
      <c r="C450" s="8" t="n">
        <v>2025</v>
      </c>
      <c r="D450" s="8" t="s">
        <v>58</v>
      </c>
      <c r="E450" s="8" t="s">
        <v>1994</v>
      </c>
      <c r="F450" s="8" t="s">
        <v>782</v>
      </c>
      <c r="G450" s="8" t="s">
        <v>783</v>
      </c>
      <c r="H450" s="8" t="s">
        <v>784</v>
      </c>
    </row>
    <row r="451" customFormat="false" ht="15" hidden="false" customHeight="false" outlineLevel="0" collapsed="false">
      <c r="A451" s="8" t="s">
        <v>1995</v>
      </c>
      <c r="B451" s="8" t="s">
        <v>1996</v>
      </c>
      <c r="C451" s="8" t="n">
        <v>2025</v>
      </c>
      <c r="D451" s="8" t="s">
        <v>58</v>
      </c>
      <c r="E451" s="8" t="s">
        <v>1997</v>
      </c>
      <c r="F451" s="8" t="s">
        <v>782</v>
      </c>
      <c r="G451" s="8" t="s">
        <v>783</v>
      </c>
      <c r="H451" s="8" t="s">
        <v>784</v>
      </c>
    </row>
    <row r="452" customFormat="false" ht="15" hidden="false" customHeight="false" outlineLevel="0" collapsed="false">
      <c r="A452" s="8" t="s">
        <v>1998</v>
      </c>
      <c r="B452" s="8" t="s">
        <v>1999</v>
      </c>
      <c r="C452" s="8" t="n">
        <v>2024</v>
      </c>
      <c r="D452" s="8" t="s">
        <v>970</v>
      </c>
      <c r="E452" s="8" t="s">
        <v>2000</v>
      </c>
      <c r="F452" s="8" t="s">
        <v>782</v>
      </c>
      <c r="G452" s="8" t="s">
        <v>783</v>
      </c>
      <c r="H452" s="8" t="s">
        <v>784</v>
      </c>
    </row>
    <row r="453" customFormat="false" ht="15" hidden="false" customHeight="false" outlineLevel="0" collapsed="false">
      <c r="A453" s="8" t="s">
        <v>2001</v>
      </c>
      <c r="B453" s="8" t="s">
        <v>2002</v>
      </c>
      <c r="C453" s="8" t="n">
        <v>2025</v>
      </c>
      <c r="D453" s="8" t="s">
        <v>90</v>
      </c>
      <c r="E453" s="8" t="s">
        <v>2003</v>
      </c>
      <c r="F453" s="8" t="s">
        <v>782</v>
      </c>
      <c r="G453" s="8" t="s">
        <v>895</v>
      </c>
      <c r="H453" s="8" t="s">
        <v>896</v>
      </c>
    </row>
    <row r="454" customFormat="false" ht="15" hidden="false" customHeight="false" outlineLevel="0" collapsed="false">
      <c r="A454" s="8" t="s">
        <v>2004</v>
      </c>
      <c r="B454" s="8" t="s">
        <v>2005</v>
      </c>
      <c r="C454" s="8" t="n">
        <v>2025</v>
      </c>
      <c r="D454" s="8" t="s">
        <v>58</v>
      </c>
      <c r="E454" s="8" t="s">
        <v>2006</v>
      </c>
      <c r="F454" s="8" t="s">
        <v>782</v>
      </c>
      <c r="G454" s="8" t="s">
        <v>783</v>
      </c>
      <c r="H454" s="8" t="s">
        <v>784</v>
      </c>
    </row>
    <row r="455" customFormat="false" ht="15" hidden="false" customHeight="false" outlineLevel="0" collapsed="false">
      <c r="A455" s="8" t="s">
        <v>2007</v>
      </c>
      <c r="B455" s="8" t="s">
        <v>2008</v>
      </c>
      <c r="C455" s="8" t="n">
        <v>2025</v>
      </c>
      <c r="D455" s="8" t="s">
        <v>83</v>
      </c>
      <c r="E455" s="8" t="s">
        <v>2009</v>
      </c>
      <c r="F455" s="8" t="s">
        <v>782</v>
      </c>
      <c r="G455" s="8" t="s">
        <v>783</v>
      </c>
      <c r="H455" s="8" t="s">
        <v>784</v>
      </c>
    </row>
    <row r="456" customFormat="false" ht="15" hidden="false" customHeight="false" outlineLevel="0" collapsed="false">
      <c r="A456" s="8" t="s">
        <v>2010</v>
      </c>
      <c r="B456" s="8" t="s">
        <v>2011</v>
      </c>
      <c r="C456" s="8" t="n">
        <v>2025</v>
      </c>
      <c r="D456" s="8" t="s">
        <v>58</v>
      </c>
      <c r="E456" s="8" t="s">
        <v>2012</v>
      </c>
      <c r="F456" s="8" t="s">
        <v>782</v>
      </c>
      <c r="G456" s="8" t="s">
        <v>783</v>
      </c>
      <c r="H456" s="8" t="s">
        <v>784</v>
      </c>
    </row>
    <row r="457" customFormat="false" ht="15" hidden="false" customHeight="false" outlineLevel="0" collapsed="false">
      <c r="A457" s="8" t="s">
        <v>2013</v>
      </c>
      <c r="B457" s="8" t="s">
        <v>2014</v>
      </c>
      <c r="C457" s="8" t="n">
        <v>2025</v>
      </c>
      <c r="D457" s="8" t="s">
        <v>58</v>
      </c>
      <c r="E457" s="8" t="s">
        <v>2015</v>
      </c>
      <c r="F457" s="8" t="s">
        <v>782</v>
      </c>
      <c r="G457" s="8" t="s">
        <v>783</v>
      </c>
      <c r="H457" s="8" t="s">
        <v>784</v>
      </c>
    </row>
    <row r="458" customFormat="false" ht="15" hidden="false" customHeight="false" outlineLevel="0" collapsed="false">
      <c r="A458" s="8" t="s">
        <v>237</v>
      </c>
      <c r="B458" s="8" t="s">
        <v>239</v>
      </c>
      <c r="C458" s="8" t="n">
        <v>2025</v>
      </c>
      <c r="D458" s="8" t="s">
        <v>58</v>
      </c>
      <c r="E458" s="8" t="s">
        <v>240</v>
      </c>
      <c r="F458" s="8" t="s">
        <v>852</v>
      </c>
      <c r="G458" s="8" t="s">
        <v>853</v>
      </c>
      <c r="H458" s="8" t="s">
        <v>854</v>
      </c>
    </row>
    <row r="459" customFormat="false" ht="15" hidden="false" customHeight="false" outlineLevel="0" collapsed="false">
      <c r="A459" s="8" t="s">
        <v>2016</v>
      </c>
      <c r="B459" s="8" t="s">
        <v>2017</v>
      </c>
      <c r="C459" s="8" t="n">
        <v>2025</v>
      </c>
      <c r="D459" s="8" t="s">
        <v>58</v>
      </c>
      <c r="E459" s="8" t="s">
        <v>2018</v>
      </c>
      <c r="F459" s="8" t="s">
        <v>782</v>
      </c>
      <c r="G459" s="8" t="s">
        <v>783</v>
      </c>
      <c r="H459" s="8" t="s">
        <v>784</v>
      </c>
    </row>
    <row r="460" customFormat="false" ht="15" hidden="false" customHeight="false" outlineLevel="0" collapsed="false">
      <c r="A460" s="8" t="s">
        <v>2019</v>
      </c>
      <c r="B460" s="8" t="s">
        <v>2020</v>
      </c>
      <c r="C460" s="8" t="n">
        <v>2025</v>
      </c>
      <c r="D460" s="8" t="s">
        <v>58</v>
      </c>
      <c r="E460" s="8" t="s">
        <v>2021</v>
      </c>
      <c r="F460" s="8" t="s">
        <v>782</v>
      </c>
      <c r="G460" s="8" t="s">
        <v>783</v>
      </c>
      <c r="H460" s="8" t="s">
        <v>784</v>
      </c>
    </row>
    <row r="461" customFormat="false" ht="15" hidden="false" customHeight="false" outlineLevel="0" collapsed="false">
      <c r="A461" s="8" t="s">
        <v>2022</v>
      </c>
      <c r="B461" s="8" t="s">
        <v>2023</v>
      </c>
      <c r="C461" s="8" t="n">
        <v>2024</v>
      </c>
      <c r="D461" s="8" t="s">
        <v>58</v>
      </c>
      <c r="E461" s="8" t="s">
        <v>2024</v>
      </c>
      <c r="F461" s="8" t="s">
        <v>782</v>
      </c>
      <c r="G461" s="8" t="s">
        <v>783</v>
      </c>
      <c r="H461" s="8" t="s">
        <v>861</v>
      </c>
    </row>
    <row r="462" customFormat="false" ht="15" hidden="false" customHeight="false" outlineLevel="0" collapsed="false">
      <c r="A462" s="8" t="s">
        <v>2025</v>
      </c>
      <c r="B462" s="8" t="s">
        <v>2026</v>
      </c>
      <c r="C462" s="8" t="n">
        <v>2024</v>
      </c>
      <c r="D462" s="8" t="s">
        <v>58</v>
      </c>
      <c r="E462" s="8" t="s">
        <v>2027</v>
      </c>
      <c r="F462" s="8" t="s">
        <v>782</v>
      </c>
      <c r="G462" s="8" t="s">
        <v>966</v>
      </c>
      <c r="H462" s="8" t="s">
        <v>967</v>
      </c>
    </row>
    <row r="463" customFormat="false" ht="15" hidden="false" customHeight="false" outlineLevel="0" collapsed="false">
      <c r="A463" s="8" t="s">
        <v>2028</v>
      </c>
      <c r="B463" s="8" t="s">
        <v>2029</v>
      </c>
      <c r="C463" s="8" t="n">
        <v>2025</v>
      </c>
      <c r="D463" s="8" t="s">
        <v>83</v>
      </c>
      <c r="E463" s="8" t="s">
        <v>2030</v>
      </c>
      <c r="F463" s="8" t="s">
        <v>782</v>
      </c>
      <c r="G463" s="8" t="s">
        <v>895</v>
      </c>
      <c r="H463" s="8" t="s">
        <v>896</v>
      </c>
    </row>
    <row r="464" customFormat="false" ht="15" hidden="false" customHeight="false" outlineLevel="0" collapsed="false">
      <c r="A464" s="8" t="s">
        <v>2031</v>
      </c>
      <c r="B464" s="8" t="s">
        <v>2032</v>
      </c>
      <c r="C464" s="8" t="n">
        <v>2024</v>
      </c>
      <c r="D464" s="8" t="s">
        <v>83</v>
      </c>
      <c r="E464" s="8" t="s">
        <v>2033</v>
      </c>
      <c r="F464" s="8" t="s">
        <v>782</v>
      </c>
      <c r="G464" s="8" t="s">
        <v>783</v>
      </c>
      <c r="H464" s="8" t="s">
        <v>784</v>
      </c>
    </row>
    <row r="465" customFormat="false" ht="15" hidden="false" customHeight="false" outlineLevel="0" collapsed="false">
      <c r="A465" s="8" t="s">
        <v>2034</v>
      </c>
      <c r="B465" s="8" t="s">
        <v>2035</v>
      </c>
      <c r="C465" s="8" t="n">
        <v>2025</v>
      </c>
      <c r="D465" s="8" t="s">
        <v>83</v>
      </c>
      <c r="E465" s="8" t="s">
        <v>2036</v>
      </c>
      <c r="F465" s="8" t="s">
        <v>782</v>
      </c>
      <c r="G465" s="8" t="s">
        <v>783</v>
      </c>
      <c r="H465" s="8" t="s">
        <v>784</v>
      </c>
    </row>
    <row r="466" customFormat="false" ht="15" hidden="false" customHeight="false" outlineLevel="0" collapsed="false">
      <c r="A466" s="8" t="s">
        <v>2037</v>
      </c>
      <c r="B466" s="8" t="s">
        <v>2038</v>
      </c>
      <c r="C466" s="8" t="n">
        <v>2024</v>
      </c>
      <c r="D466" s="8" t="s">
        <v>83</v>
      </c>
      <c r="E466" s="8" t="s">
        <v>2039</v>
      </c>
      <c r="F466" s="8" t="s">
        <v>782</v>
      </c>
      <c r="G466" s="8" t="s">
        <v>783</v>
      </c>
      <c r="H466" s="8" t="s">
        <v>784</v>
      </c>
    </row>
    <row r="467" customFormat="false" ht="15" hidden="false" customHeight="false" outlineLevel="0" collapsed="false">
      <c r="A467" s="8" t="s">
        <v>2040</v>
      </c>
      <c r="B467" s="8" t="s">
        <v>2041</v>
      </c>
      <c r="C467" s="8" t="n">
        <v>2024</v>
      </c>
      <c r="D467" s="8" t="s">
        <v>58</v>
      </c>
      <c r="E467" s="8" t="s">
        <v>2042</v>
      </c>
      <c r="F467" s="8" t="s">
        <v>782</v>
      </c>
      <c r="G467" s="8" t="s">
        <v>895</v>
      </c>
      <c r="H467" s="8" t="s">
        <v>896</v>
      </c>
    </row>
    <row r="468" customFormat="false" ht="15" hidden="false" customHeight="false" outlineLevel="0" collapsed="false">
      <c r="A468" s="8" t="s">
        <v>2043</v>
      </c>
      <c r="B468" s="8" t="s">
        <v>2044</v>
      </c>
      <c r="C468" s="8" t="n">
        <v>2025</v>
      </c>
      <c r="D468" s="8" t="s">
        <v>58</v>
      </c>
      <c r="E468" s="8" t="s">
        <v>2045</v>
      </c>
      <c r="F468" s="8" t="s">
        <v>782</v>
      </c>
      <c r="G468" s="8" t="s">
        <v>783</v>
      </c>
      <c r="H468" s="8" t="s">
        <v>861</v>
      </c>
    </row>
    <row r="469" customFormat="false" ht="15" hidden="false" customHeight="false" outlineLevel="0" collapsed="false">
      <c r="A469" s="8" t="s">
        <v>2046</v>
      </c>
      <c r="B469" s="8" t="s">
        <v>2047</v>
      </c>
      <c r="C469" s="8" t="n">
        <v>2024</v>
      </c>
      <c r="D469" s="8" t="s">
        <v>58</v>
      </c>
      <c r="E469" s="8" t="s">
        <v>2048</v>
      </c>
      <c r="F469" s="8" t="s">
        <v>782</v>
      </c>
      <c r="G469" s="8" t="s">
        <v>801</v>
      </c>
      <c r="H469" s="8" t="s">
        <v>802</v>
      </c>
    </row>
    <row r="470" customFormat="false" ht="15" hidden="false" customHeight="false" outlineLevel="0" collapsed="false">
      <c r="A470" s="8" t="s">
        <v>132</v>
      </c>
      <c r="B470" s="8" t="s">
        <v>134</v>
      </c>
      <c r="C470" s="8" t="n">
        <v>2025</v>
      </c>
      <c r="D470" s="8" t="s">
        <v>83</v>
      </c>
      <c r="E470" s="8" t="s">
        <v>136</v>
      </c>
      <c r="F470" s="8" t="s">
        <v>852</v>
      </c>
      <c r="G470" s="8" t="s">
        <v>853</v>
      </c>
      <c r="H470" s="8" t="s">
        <v>854</v>
      </c>
    </row>
    <row r="471" customFormat="false" ht="15" hidden="false" customHeight="false" outlineLevel="0" collapsed="false">
      <c r="A471" s="8" t="s">
        <v>2049</v>
      </c>
      <c r="B471" s="8" t="s">
        <v>2050</v>
      </c>
      <c r="C471" s="8" t="n">
        <v>2025</v>
      </c>
      <c r="D471" s="8" t="s">
        <v>74</v>
      </c>
      <c r="E471" s="8" t="s">
        <v>2051</v>
      </c>
      <c r="F471" s="8" t="s">
        <v>782</v>
      </c>
      <c r="G471" s="8" t="s">
        <v>783</v>
      </c>
      <c r="H471" s="8" t="s">
        <v>784</v>
      </c>
    </row>
    <row r="472" customFormat="false" ht="15" hidden="false" customHeight="false" outlineLevel="0" collapsed="false">
      <c r="A472" s="8" t="s">
        <v>2052</v>
      </c>
      <c r="B472" s="8" t="s">
        <v>2053</v>
      </c>
      <c r="C472" s="8" t="n">
        <v>2025</v>
      </c>
      <c r="D472" s="8" t="s">
        <v>58</v>
      </c>
      <c r="E472" s="8" t="s">
        <v>2054</v>
      </c>
      <c r="F472" s="8" t="s">
        <v>782</v>
      </c>
      <c r="G472" s="8" t="s">
        <v>783</v>
      </c>
      <c r="H472" s="8" t="s">
        <v>784</v>
      </c>
    </row>
    <row r="473" customFormat="false" ht="15" hidden="false" customHeight="false" outlineLevel="0" collapsed="false">
      <c r="A473" s="8" t="s">
        <v>2055</v>
      </c>
      <c r="B473" s="8" t="s">
        <v>2056</v>
      </c>
      <c r="C473" s="8" t="n">
        <v>2023</v>
      </c>
      <c r="D473" s="8" t="s">
        <v>74</v>
      </c>
      <c r="E473" s="8" t="s">
        <v>2057</v>
      </c>
      <c r="F473" s="8" t="s">
        <v>782</v>
      </c>
      <c r="G473" s="8" t="s">
        <v>895</v>
      </c>
      <c r="H473" s="8" t="s">
        <v>896</v>
      </c>
    </row>
    <row r="474" customFormat="false" ht="15" hidden="false" customHeight="false" outlineLevel="0" collapsed="false">
      <c r="A474" s="8" t="s">
        <v>2058</v>
      </c>
      <c r="B474" s="8" t="s">
        <v>2059</v>
      </c>
      <c r="C474" s="8" t="n">
        <v>2025</v>
      </c>
      <c r="D474" s="8" t="s">
        <v>58</v>
      </c>
      <c r="E474" s="8" t="s">
        <v>2060</v>
      </c>
      <c r="F474" s="8" t="s">
        <v>782</v>
      </c>
      <c r="G474" s="8" t="s">
        <v>783</v>
      </c>
      <c r="H474" s="8" t="s">
        <v>784</v>
      </c>
    </row>
    <row r="475" customFormat="false" ht="15" hidden="false" customHeight="false" outlineLevel="0" collapsed="false">
      <c r="A475" s="8" t="s">
        <v>2061</v>
      </c>
      <c r="B475" s="8" t="s">
        <v>2062</v>
      </c>
      <c r="C475" s="8" t="n">
        <v>2025</v>
      </c>
      <c r="D475" s="8" t="s">
        <v>58</v>
      </c>
      <c r="E475" s="8" t="s">
        <v>2063</v>
      </c>
      <c r="F475" s="8" t="s">
        <v>782</v>
      </c>
      <c r="G475" s="8" t="s">
        <v>783</v>
      </c>
      <c r="H475" s="8" t="s">
        <v>784</v>
      </c>
    </row>
    <row r="476" customFormat="false" ht="15" hidden="false" customHeight="false" outlineLevel="0" collapsed="false">
      <c r="A476" s="8" t="s">
        <v>2064</v>
      </c>
      <c r="B476" s="8" t="s">
        <v>2065</v>
      </c>
      <c r="C476" s="8" t="n">
        <v>2024</v>
      </c>
      <c r="D476" s="8" t="s">
        <v>58</v>
      </c>
      <c r="E476" s="8" t="s">
        <v>2066</v>
      </c>
      <c r="F476" s="8" t="s">
        <v>782</v>
      </c>
      <c r="G476" s="8" t="s">
        <v>783</v>
      </c>
      <c r="H476" s="8" t="s">
        <v>861</v>
      </c>
    </row>
    <row r="477" customFormat="false" ht="15" hidden="false" customHeight="false" outlineLevel="0" collapsed="false">
      <c r="A477" s="8" t="s">
        <v>2067</v>
      </c>
      <c r="B477" s="8" t="s">
        <v>2068</v>
      </c>
      <c r="C477" s="8" t="n">
        <v>2021</v>
      </c>
      <c r="D477" s="8" t="s">
        <v>58</v>
      </c>
      <c r="E477" s="8" t="s">
        <v>2069</v>
      </c>
      <c r="F477" s="8" t="s">
        <v>782</v>
      </c>
      <c r="G477" s="8" t="s">
        <v>783</v>
      </c>
      <c r="H477" s="8" t="s">
        <v>784</v>
      </c>
    </row>
    <row r="478" customFormat="false" ht="15" hidden="false" customHeight="false" outlineLevel="0" collapsed="false">
      <c r="A478" s="8" t="s">
        <v>2070</v>
      </c>
      <c r="B478" s="8" t="s">
        <v>2071</v>
      </c>
      <c r="C478" s="8" t="n">
        <v>2022</v>
      </c>
      <c r="D478" s="8" t="s">
        <v>58</v>
      </c>
      <c r="E478" s="8" t="s">
        <v>2072</v>
      </c>
      <c r="F478" s="8" t="s">
        <v>782</v>
      </c>
      <c r="G478" s="8" t="s">
        <v>783</v>
      </c>
      <c r="H478" s="8" t="s">
        <v>784</v>
      </c>
    </row>
    <row r="479" customFormat="false" ht="15" hidden="false" customHeight="false" outlineLevel="0" collapsed="false">
      <c r="A479" s="8" t="s">
        <v>2073</v>
      </c>
      <c r="B479" s="8" t="s">
        <v>2074</v>
      </c>
      <c r="C479" s="8" t="n">
        <v>2019</v>
      </c>
      <c r="D479" s="8" t="s">
        <v>58</v>
      </c>
      <c r="E479" s="8" t="s">
        <v>2075</v>
      </c>
      <c r="F479" s="8" t="s">
        <v>782</v>
      </c>
      <c r="G479" s="8" t="s">
        <v>783</v>
      </c>
      <c r="H479" s="8" t="s">
        <v>784</v>
      </c>
    </row>
    <row r="480" customFormat="false" ht="15" hidden="false" customHeight="false" outlineLevel="0" collapsed="false">
      <c r="A480" s="8" t="s">
        <v>577</v>
      </c>
      <c r="B480" s="8" t="s">
        <v>579</v>
      </c>
      <c r="C480" s="8" t="n">
        <v>2019</v>
      </c>
      <c r="D480" s="8" t="s">
        <v>90</v>
      </c>
      <c r="E480" s="8" t="s">
        <v>580</v>
      </c>
      <c r="F480" s="8" t="s">
        <v>852</v>
      </c>
      <c r="G480" s="8" t="s">
        <v>853</v>
      </c>
      <c r="H480" s="8" t="s">
        <v>854</v>
      </c>
    </row>
    <row r="481" customFormat="false" ht="15" hidden="false" customHeight="false" outlineLevel="0" collapsed="false">
      <c r="A481" s="8" t="s">
        <v>2076</v>
      </c>
      <c r="B481" s="8" t="s">
        <v>2077</v>
      </c>
      <c r="C481" s="8" t="n">
        <v>2019</v>
      </c>
      <c r="D481" s="8" t="s">
        <v>58</v>
      </c>
      <c r="E481" s="8" t="s">
        <v>2078</v>
      </c>
      <c r="F481" s="8" t="s">
        <v>782</v>
      </c>
      <c r="G481" s="8" t="s">
        <v>783</v>
      </c>
      <c r="H481" s="8" t="s">
        <v>784</v>
      </c>
    </row>
    <row r="482" customFormat="false" ht="15" hidden="false" customHeight="false" outlineLevel="0" collapsed="false">
      <c r="A482" s="8" t="s">
        <v>2079</v>
      </c>
      <c r="B482" s="8" t="s">
        <v>2080</v>
      </c>
      <c r="C482" s="8" t="n">
        <v>2019</v>
      </c>
      <c r="D482" s="8" t="s">
        <v>58</v>
      </c>
      <c r="E482" s="8" t="s">
        <v>2081</v>
      </c>
      <c r="F482" s="8" t="s">
        <v>782</v>
      </c>
      <c r="G482" s="8" t="s">
        <v>783</v>
      </c>
      <c r="H482" s="8" t="s">
        <v>784</v>
      </c>
    </row>
    <row r="483" customFormat="false" ht="15" hidden="false" customHeight="false" outlineLevel="0" collapsed="false">
      <c r="A483" s="8" t="s">
        <v>356</v>
      </c>
      <c r="B483" s="8" t="s">
        <v>358</v>
      </c>
      <c r="C483" s="8" t="n">
        <v>2023</v>
      </c>
      <c r="D483" s="8" t="s">
        <v>90</v>
      </c>
      <c r="E483" s="8" t="s">
        <v>360</v>
      </c>
      <c r="F483" s="8" t="s">
        <v>852</v>
      </c>
      <c r="G483" s="8" t="s">
        <v>853</v>
      </c>
      <c r="H483" s="8" t="s">
        <v>854</v>
      </c>
    </row>
    <row r="484" customFormat="false" ht="15" hidden="false" customHeight="false" outlineLevel="0" collapsed="false">
      <c r="A484" s="8" t="s">
        <v>2082</v>
      </c>
      <c r="B484" s="8" t="s">
        <v>2083</v>
      </c>
      <c r="C484" s="8" t="n">
        <v>2019</v>
      </c>
      <c r="D484" s="8" t="s">
        <v>58</v>
      </c>
      <c r="E484" s="8" t="s">
        <v>2084</v>
      </c>
      <c r="F484" s="8" t="s">
        <v>782</v>
      </c>
      <c r="G484" s="8" t="s">
        <v>783</v>
      </c>
      <c r="H484" s="8" t="s">
        <v>784</v>
      </c>
    </row>
    <row r="485" customFormat="false" ht="15" hidden="false" customHeight="false" outlineLevel="0" collapsed="false">
      <c r="A485" s="8" t="s">
        <v>2085</v>
      </c>
      <c r="B485" s="8" t="s">
        <v>2086</v>
      </c>
      <c r="C485" s="8" t="n">
        <v>2021</v>
      </c>
      <c r="D485" s="8" t="s">
        <v>83</v>
      </c>
      <c r="E485" s="8" t="s">
        <v>2087</v>
      </c>
      <c r="F485" s="8" t="s">
        <v>782</v>
      </c>
      <c r="G485" s="8" t="s">
        <v>783</v>
      </c>
      <c r="H485" s="8" t="s">
        <v>784</v>
      </c>
    </row>
    <row r="486" customFormat="false" ht="15" hidden="false" customHeight="false" outlineLevel="0" collapsed="false">
      <c r="A486" s="8" t="s">
        <v>2088</v>
      </c>
      <c r="B486" s="8" t="s">
        <v>2089</v>
      </c>
      <c r="C486" s="8" t="n">
        <v>2021</v>
      </c>
      <c r="D486" s="8" t="s">
        <v>58</v>
      </c>
      <c r="E486" s="8" t="s">
        <v>2090</v>
      </c>
      <c r="F486" s="8" t="s">
        <v>782</v>
      </c>
      <c r="G486" s="8" t="s">
        <v>783</v>
      </c>
      <c r="H486" s="8" t="s">
        <v>861</v>
      </c>
    </row>
    <row r="487" customFormat="false" ht="15" hidden="false" customHeight="false" outlineLevel="0" collapsed="false">
      <c r="A487" s="8" t="s">
        <v>2091</v>
      </c>
      <c r="B487" s="8" t="s">
        <v>2092</v>
      </c>
      <c r="C487" s="8" t="n">
        <v>2022</v>
      </c>
      <c r="D487" s="8" t="s">
        <v>83</v>
      </c>
      <c r="E487" s="8" t="s">
        <v>2093</v>
      </c>
      <c r="F487" s="8" t="s">
        <v>782</v>
      </c>
      <c r="G487" s="8" t="s">
        <v>783</v>
      </c>
      <c r="H487" s="8" t="s">
        <v>784</v>
      </c>
    </row>
    <row r="488" customFormat="false" ht="15" hidden="false" customHeight="false" outlineLevel="0" collapsed="false">
      <c r="A488" s="8" t="s">
        <v>2094</v>
      </c>
      <c r="B488" s="8" t="s">
        <v>2095</v>
      </c>
      <c r="C488" s="8" t="n">
        <v>2021</v>
      </c>
      <c r="D488" s="8" t="s">
        <v>83</v>
      </c>
      <c r="E488" s="8" t="s">
        <v>2096</v>
      </c>
      <c r="F488" s="8" t="s">
        <v>782</v>
      </c>
      <c r="G488" s="8" t="s">
        <v>783</v>
      </c>
      <c r="H488" s="8" t="s">
        <v>784</v>
      </c>
    </row>
    <row r="489" customFormat="false" ht="15" hidden="false" customHeight="false" outlineLevel="0" collapsed="false">
      <c r="A489" s="8" t="s">
        <v>2097</v>
      </c>
      <c r="B489" s="8" t="s">
        <v>2098</v>
      </c>
      <c r="C489" s="8" t="n">
        <v>2022</v>
      </c>
      <c r="D489" s="8" t="s">
        <v>58</v>
      </c>
      <c r="E489" s="8" t="s">
        <v>2099</v>
      </c>
      <c r="F489" s="8" t="s">
        <v>782</v>
      </c>
      <c r="G489" s="8" t="s">
        <v>783</v>
      </c>
      <c r="H489" s="8" t="s">
        <v>784</v>
      </c>
    </row>
    <row r="490" customFormat="false" ht="15" hidden="false" customHeight="false" outlineLevel="0" collapsed="false">
      <c r="A490" s="8" t="s">
        <v>2100</v>
      </c>
      <c r="B490" s="8" t="s">
        <v>2101</v>
      </c>
      <c r="C490" s="8" t="n">
        <v>2020</v>
      </c>
      <c r="D490" s="8" t="s">
        <v>58</v>
      </c>
      <c r="E490" s="8" t="s">
        <v>2102</v>
      </c>
      <c r="F490" s="8" t="s">
        <v>782</v>
      </c>
      <c r="G490" s="8" t="s">
        <v>783</v>
      </c>
      <c r="H490" s="8" t="s">
        <v>861</v>
      </c>
    </row>
    <row r="491" customFormat="false" ht="15" hidden="false" customHeight="false" outlineLevel="0" collapsed="false">
      <c r="A491" s="8" t="s">
        <v>2103</v>
      </c>
      <c r="B491" s="8" t="s">
        <v>2104</v>
      </c>
      <c r="C491" s="8" t="n">
        <v>2019</v>
      </c>
      <c r="D491" s="8" t="s">
        <v>83</v>
      </c>
      <c r="E491" s="8" t="s">
        <v>2105</v>
      </c>
      <c r="F491" s="8" t="s">
        <v>782</v>
      </c>
      <c r="G491" s="8" t="s">
        <v>783</v>
      </c>
      <c r="H491" s="8" t="s">
        <v>784</v>
      </c>
    </row>
    <row r="492" customFormat="false" ht="15" hidden="false" customHeight="false" outlineLevel="0" collapsed="false">
      <c r="A492" s="8" t="s">
        <v>2106</v>
      </c>
      <c r="B492" s="8" t="s">
        <v>2107</v>
      </c>
      <c r="C492" s="8" t="n">
        <v>2020</v>
      </c>
      <c r="D492" s="8" t="s">
        <v>58</v>
      </c>
      <c r="E492" s="8" t="s">
        <v>2108</v>
      </c>
      <c r="F492" s="8" t="s">
        <v>782</v>
      </c>
      <c r="G492" s="8" t="s">
        <v>801</v>
      </c>
      <c r="H492" s="8" t="s">
        <v>802</v>
      </c>
    </row>
    <row r="493" customFormat="false" ht="15" hidden="false" customHeight="false" outlineLevel="0" collapsed="false">
      <c r="A493" s="8" t="s">
        <v>2109</v>
      </c>
      <c r="B493" s="8" t="s">
        <v>2110</v>
      </c>
      <c r="C493" s="8" t="n">
        <v>2023</v>
      </c>
      <c r="D493" s="8" t="s">
        <v>58</v>
      </c>
      <c r="E493" s="8"/>
      <c r="F493" s="8" t="s">
        <v>782</v>
      </c>
      <c r="G493" s="8" t="s">
        <v>783</v>
      </c>
      <c r="H493" s="8" t="s">
        <v>784</v>
      </c>
    </row>
    <row r="494" customFormat="false" ht="15" hidden="false" customHeight="false" outlineLevel="0" collapsed="false">
      <c r="A494" s="8" t="s">
        <v>2111</v>
      </c>
      <c r="B494" s="8" t="s">
        <v>2112</v>
      </c>
      <c r="C494" s="8" t="n">
        <v>2019</v>
      </c>
      <c r="D494" s="8" t="s">
        <v>58</v>
      </c>
      <c r="E494" s="8" t="s">
        <v>2113</v>
      </c>
      <c r="F494" s="8" t="s">
        <v>782</v>
      </c>
      <c r="G494" s="8" t="s">
        <v>801</v>
      </c>
      <c r="H494" s="8" t="s">
        <v>802</v>
      </c>
    </row>
    <row r="495" customFormat="false" ht="15" hidden="false" customHeight="false" outlineLevel="0" collapsed="false">
      <c r="A495" s="8" t="s">
        <v>2114</v>
      </c>
      <c r="B495" s="8" t="s">
        <v>2115</v>
      </c>
      <c r="C495" s="8" t="n">
        <v>2019</v>
      </c>
      <c r="D495" s="8" t="s">
        <v>58</v>
      </c>
      <c r="E495" s="8" t="s">
        <v>2116</v>
      </c>
      <c r="F495" s="8" t="s">
        <v>782</v>
      </c>
      <c r="G495" s="8" t="s">
        <v>801</v>
      </c>
      <c r="H495" s="8" t="s">
        <v>802</v>
      </c>
    </row>
    <row r="496" customFormat="false" ht="15" hidden="false" customHeight="false" outlineLevel="0" collapsed="false">
      <c r="A496" s="8" t="s">
        <v>2117</v>
      </c>
      <c r="B496" s="8" t="s">
        <v>2118</v>
      </c>
      <c r="C496" s="8" t="n">
        <v>2021</v>
      </c>
      <c r="D496" s="8" t="s">
        <v>58</v>
      </c>
      <c r="E496" s="8" t="s">
        <v>2119</v>
      </c>
      <c r="F496" s="8" t="s">
        <v>782</v>
      </c>
      <c r="G496" s="8" t="s">
        <v>783</v>
      </c>
      <c r="H496" s="8" t="s">
        <v>784</v>
      </c>
    </row>
    <row r="497" customFormat="false" ht="15" hidden="false" customHeight="false" outlineLevel="0" collapsed="false">
      <c r="A497" s="8" t="s">
        <v>516</v>
      </c>
      <c r="B497" s="8" t="s">
        <v>518</v>
      </c>
      <c r="C497" s="8" t="n">
        <v>2021</v>
      </c>
      <c r="D497" s="8" t="s">
        <v>58</v>
      </c>
      <c r="E497" s="8" t="s">
        <v>520</v>
      </c>
      <c r="F497" s="8" t="s">
        <v>852</v>
      </c>
      <c r="G497" s="8" t="s">
        <v>853</v>
      </c>
      <c r="H497" s="8" t="s">
        <v>854</v>
      </c>
    </row>
    <row r="498" customFormat="false" ht="15" hidden="false" customHeight="false" outlineLevel="0" collapsed="false">
      <c r="A498" s="8" t="s">
        <v>567</v>
      </c>
      <c r="B498" s="8" t="s">
        <v>569</v>
      </c>
      <c r="C498" s="8" t="n">
        <v>2019</v>
      </c>
      <c r="D498" s="8" t="s">
        <v>58</v>
      </c>
      <c r="E498" s="8" t="s">
        <v>570</v>
      </c>
      <c r="F498" s="8" t="s">
        <v>852</v>
      </c>
      <c r="G498" s="8" t="s">
        <v>853</v>
      </c>
      <c r="H498" s="8" t="s">
        <v>854</v>
      </c>
    </row>
    <row r="499" customFormat="false" ht="15" hidden="false" customHeight="false" outlineLevel="0" collapsed="false">
      <c r="A499" s="8" t="s">
        <v>2120</v>
      </c>
      <c r="B499" s="8" t="s">
        <v>2121</v>
      </c>
      <c r="C499" s="8" t="n">
        <v>2023</v>
      </c>
      <c r="D499" s="8" t="s">
        <v>83</v>
      </c>
      <c r="E499" s="8" t="s">
        <v>2122</v>
      </c>
      <c r="F499" s="8" t="s">
        <v>782</v>
      </c>
      <c r="G499" s="8" t="s">
        <v>895</v>
      </c>
      <c r="H499" s="8" t="s">
        <v>896</v>
      </c>
    </row>
    <row r="500" customFormat="false" ht="15" hidden="false" customHeight="false" outlineLevel="0" collapsed="false">
      <c r="A500" s="8" t="s">
        <v>2123</v>
      </c>
      <c r="B500" s="8" t="s">
        <v>2124</v>
      </c>
      <c r="C500" s="8" t="n">
        <v>2022</v>
      </c>
      <c r="D500" s="8" t="s">
        <v>83</v>
      </c>
      <c r="E500" s="8" t="s">
        <v>2125</v>
      </c>
      <c r="F500" s="8" t="s">
        <v>782</v>
      </c>
      <c r="G500" s="8" t="s">
        <v>966</v>
      </c>
      <c r="H500" s="8" t="s">
        <v>967</v>
      </c>
    </row>
    <row r="501" customFormat="false" ht="15" hidden="false" customHeight="false" outlineLevel="0" collapsed="false">
      <c r="A501" s="8" t="s">
        <v>2126</v>
      </c>
      <c r="B501" s="8" t="s">
        <v>2127</v>
      </c>
      <c r="C501" s="8" t="n">
        <v>2020</v>
      </c>
      <c r="D501" s="8" t="s">
        <v>58</v>
      </c>
      <c r="E501" s="8"/>
      <c r="F501" s="8" t="s">
        <v>782</v>
      </c>
      <c r="G501" s="8" t="s">
        <v>783</v>
      </c>
      <c r="H501" s="8" t="s">
        <v>784</v>
      </c>
    </row>
    <row r="502" customFormat="false" ht="15" hidden="false" customHeight="false" outlineLevel="0" collapsed="false">
      <c r="A502" s="8" t="s">
        <v>2128</v>
      </c>
      <c r="B502" s="8" t="s">
        <v>2129</v>
      </c>
      <c r="C502" s="8" t="n">
        <v>2020</v>
      </c>
      <c r="D502" s="8" t="s">
        <v>58</v>
      </c>
      <c r="E502" s="8" t="s">
        <v>2130</v>
      </c>
      <c r="F502" s="8" t="s">
        <v>782</v>
      </c>
      <c r="G502" s="8" t="s">
        <v>783</v>
      </c>
      <c r="H502" s="8" t="s">
        <v>861</v>
      </c>
    </row>
    <row r="503" customFormat="false" ht="15" hidden="false" customHeight="false" outlineLevel="0" collapsed="false">
      <c r="A503" s="8" t="s">
        <v>2131</v>
      </c>
      <c r="B503" s="8" t="s">
        <v>2132</v>
      </c>
      <c r="C503" s="8" t="n">
        <v>2020</v>
      </c>
      <c r="D503" s="8" t="s">
        <v>58</v>
      </c>
      <c r="E503" s="8" t="s">
        <v>2133</v>
      </c>
      <c r="F503" s="8" t="s">
        <v>782</v>
      </c>
      <c r="G503" s="8" t="s">
        <v>783</v>
      </c>
      <c r="H503" s="8" t="s">
        <v>861</v>
      </c>
    </row>
    <row r="504" customFormat="false" ht="15" hidden="false" customHeight="false" outlineLevel="0" collapsed="false">
      <c r="A504" s="8" t="s">
        <v>429</v>
      </c>
      <c r="B504" s="8" t="s">
        <v>431</v>
      </c>
      <c r="C504" s="8" t="n">
        <v>2022</v>
      </c>
      <c r="D504" s="8" t="s">
        <v>74</v>
      </c>
      <c r="E504" s="8" t="s">
        <v>433</v>
      </c>
      <c r="F504" s="8" t="s">
        <v>852</v>
      </c>
      <c r="G504" s="8" t="s">
        <v>853</v>
      </c>
      <c r="H504" s="8" t="s">
        <v>854</v>
      </c>
    </row>
    <row r="505" customFormat="false" ht="15" hidden="false" customHeight="false" outlineLevel="0" collapsed="false">
      <c r="A505" s="8" t="s">
        <v>2134</v>
      </c>
      <c r="B505" s="8" t="s">
        <v>2135</v>
      </c>
      <c r="C505" s="8" t="n">
        <v>2019</v>
      </c>
      <c r="D505" s="8" t="s">
        <v>58</v>
      </c>
      <c r="E505" s="8" t="s">
        <v>2136</v>
      </c>
      <c r="F505" s="8" t="s">
        <v>782</v>
      </c>
      <c r="G505" s="8" t="s">
        <v>783</v>
      </c>
      <c r="H505" s="8" t="s">
        <v>784</v>
      </c>
    </row>
    <row r="506" customFormat="false" ht="15" hidden="false" customHeight="false" outlineLevel="0" collapsed="false">
      <c r="A506" s="8" t="s">
        <v>2137</v>
      </c>
      <c r="B506" s="8" t="s">
        <v>2138</v>
      </c>
      <c r="C506" s="8" t="n">
        <v>2020</v>
      </c>
      <c r="D506" s="8" t="s">
        <v>58</v>
      </c>
      <c r="E506" s="8" t="s">
        <v>2139</v>
      </c>
      <c r="F506" s="8" t="s">
        <v>782</v>
      </c>
      <c r="G506" s="8" t="s">
        <v>783</v>
      </c>
      <c r="H506" s="8" t="s">
        <v>784</v>
      </c>
    </row>
    <row r="507" customFormat="false" ht="15" hidden="false" customHeight="false" outlineLevel="0" collapsed="false">
      <c r="A507" s="8" t="s">
        <v>2140</v>
      </c>
      <c r="B507" s="8" t="s">
        <v>2141</v>
      </c>
      <c r="C507" s="8" t="n">
        <v>2021</v>
      </c>
      <c r="D507" s="8" t="s">
        <v>58</v>
      </c>
      <c r="E507" s="8" t="s">
        <v>2142</v>
      </c>
      <c r="F507" s="8" t="s">
        <v>782</v>
      </c>
      <c r="G507" s="8" t="s">
        <v>966</v>
      </c>
      <c r="H507" s="8" t="s">
        <v>967</v>
      </c>
    </row>
    <row r="508" customFormat="false" ht="15" hidden="false" customHeight="false" outlineLevel="0" collapsed="false">
      <c r="A508" s="8" t="s">
        <v>2143</v>
      </c>
      <c r="B508" s="8" t="s">
        <v>2144</v>
      </c>
      <c r="C508" s="8" t="n">
        <v>2019</v>
      </c>
      <c r="D508" s="8" t="s">
        <v>58</v>
      </c>
      <c r="E508" s="8"/>
      <c r="F508" s="8" t="s">
        <v>782</v>
      </c>
      <c r="G508" s="8" t="s">
        <v>783</v>
      </c>
      <c r="H508" s="8" t="s">
        <v>784</v>
      </c>
    </row>
    <row r="509" customFormat="false" ht="15" hidden="false" customHeight="false" outlineLevel="0" collapsed="false">
      <c r="A509" s="8" t="s">
        <v>2145</v>
      </c>
      <c r="B509" s="8" t="s">
        <v>2146</v>
      </c>
      <c r="C509" s="8" t="n">
        <v>2023</v>
      </c>
      <c r="D509" s="8" t="s">
        <v>58</v>
      </c>
      <c r="E509" s="8" t="s">
        <v>2147</v>
      </c>
      <c r="F509" s="8" t="s">
        <v>782</v>
      </c>
      <c r="G509" s="8" t="s">
        <v>783</v>
      </c>
      <c r="H509" s="8" t="s">
        <v>784</v>
      </c>
    </row>
    <row r="510" customFormat="false" ht="15" hidden="false" customHeight="false" outlineLevel="0" collapsed="false">
      <c r="A510" s="8" t="s">
        <v>2148</v>
      </c>
      <c r="B510" s="8" t="s">
        <v>2149</v>
      </c>
      <c r="C510" s="8" t="n">
        <v>2020</v>
      </c>
      <c r="D510" s="8" t="s">
        <v>58</v>
      </c>
      <c r="E510" s="8" t="s">
        <v>2150</v>
      </c>
      <c r="F510" s="8" t="s">
        <v>782</v>
      </c>
      <c r="G510" s="8" t="s">
        <v>801</v>
      </c>
      <c r="H510" s="8" t="s">
        <v>915</v>
      </c>
    </row>
    <row r="511" customFormat="false" ht="15" hidden="false" customHeight="false" outlineLevel="0" collapsed="false">
      <c r="A511" s="8" t="s">
        <v>2151</v>
      </c>
      <c r="B511" s="8" t="s">
        <v>2152</v>
      </c>
      <c r="C511" s="8" t="n">
        <v>2019</v>
      </c>
      <c r="D511" s="8" t="s">
        <v>58</v>
      </c>
      <c r="E511" s="8" t="s">
        <v>2153</v>
      </c>
      <c r="F511" s="8" t="s">
        <v>782</v>
      </c>
      <c r="G511" s="8" t="s">
        <v>783</v>
      </c>
      <c r="H511" s="8" t="s">
        <v>784</v>
      </c>
    </row>
    <row r="512" customFormat="false" ht="15" hidden="false" customHeight="false" outlineLevel="0" collapsed="false">
      <c r="A512" s="8" t="s">
        <v>2154</v>
      </c>
      <c r="B512" s="8" t="s">
        <v>2155</v>
      </c>
      <c r="C512" s="8" t="n">
        <v>2019</v>
      </c>
      <c r="D512" s="8" t="s">
        <v>58</v>
      </c>
      <c r="E512" s="8" t="s">
        <v>2156</v>
      </c>
      <c r="F512" s="8" t="s">
        <v>782</v>
      </c>
      <c r="G512" s="8" t="s">
        <v>783</v>
      </c>
      <c r="H512" s="8" t="s">
        <v>784</v>
      </c>
    </row>
    <row r="513" customFormat="false" ht="15" hidden="false" customHeight="false" outlineLevel="0" collapsed="false">
      <c r="A513" s="8" t="s">
        <v>2157</v>
      </c>
      <c r="B513" s="8" t="s">
        <v>2158</v>
      </c>
      <c r="C513" s="8" t="n">
        <v>2022</v>
      </c>
      <c r="D513" s="8" t="s">
        <v>58</v>
      </c>
      <c r="E513" s="8" t="s">
        <v>2159</v>
      </c>
      <c r="F513" s="8" t="s">
        <v>782</v>
      </c>
      <c r="G513" s="8" t="s">
        <v>783</v>
      </c>
      <c r="H513" s="8" t="s">
        <v>784</v>
      </c>
    </row>
    <row r="514" customFormat="false" ht="15" hidden="false" customHeight="false" outlineLevel="0" collapsed="false">
      <c r="A514" s="8" t="s">
        <v>2160</v>
      </c>
      <c r="B514" s="8" t="s">
        <v>2161</v>
      </c>
      <c r="C514" s="8" t="n">
        <v>2021</v>
      </c>
      <c r="D514" s="8" t="s">
        <v>58</v>
      </c>
      <c r="E514" s="8" t="s">
        <v>2162</v>
      </c>
      <c r="F514" s="8" t="s">
        <v>782</v>
      </c>
      <c r="G514" s="8" t="s">
        <v>783</v>
      </c>
      <c r="H514" s="8" t="s">
        <v>784</v>
      </c>
    </row>
    <row r="515" customFormat="false" ht="15" hidden="false" customHeight="false" outlineLevel="0" collapsed="false">
      <c r="A515" s="8" t="s">
        <v>2163</v>
      </c>
      <c r="B515" s="8" t="s">
        <v>2164</v>
      </c>
      <c r="C515" s="8" t="n">
        <v>2021</v>
      </c>
      <c r="D515" s="8" t="s">
        <v>58</v>
      </c>
      <c r="E515" s="8" t="s">
        <v>2165</v>
      </c>
      <c r="F515" s="8" t="s">
        <v>782</v>
      </c>
      <c r="G515" s="8" t="s">
        <v>783</v>
      </c>
      <c r="H515" s="8" t="s">
        <v>784</v>
      </c>
    </row>
    <row r="516" customFormat="false" ht="15" hidden="false" customHeight="false" outlineLevel="0" collapsed="false">
      <c r="A516" s="8" t="s">
        <v>2166</v>
      </c>
      <c r="B516" s="8" t="s">
        <v>2167</v>
      </c>
      <c r="C516" s="8" t="n">
        <v>2019</v>
      </c>
      <c r="D516" s="8" t="s">
        <v>58</v>
      </c>
      <c r="E516" s="8" t="s">
        <v>2168</v>
      </c>
      <c r="F516" s="8" t="s">
        <v>782</v>
      </c>
      <c r="G516" s="8" t="s">
        <v>788</v>
      </c>
      <c r="H516" s="8" t="s">
        <v>789</v>
      </c>
    </row>
    <row r="517" customFormat="false" ht="15" hidden="false" customHeight="false" outlineLevel="0" collapsed="false">
      <c r="A517" s="8" t="s">
        <v>2169</v>
      </c>
      <c r="B517" s="8" t="s">
        <v>2170</v>
      </c>
      <c r="C517" s="8" t="n">
        <v>2019</v>
      </c>
      <c r="D517" s="8" t="s">
        <v>58</v>
      </c>
      <c r="E517" s="8" t="s">
        <v>2171</v>
      </c>
      <c r="F517" s="8" t="s">
        <v>782</v>
      </c>
      <c r="G517" s="8" t="s">
        <v>783</v>
      </c>
      <c r="H517" s="8" t="s">
        <v>784</v>
      </c>
    </row>
    <row r="518" customFormat="false" ht="15" hidden="false" customHeight="false" outlineLevel="0" collapsed="false">
      <c r="A518" s="8" t="s">
        <v>2172</v>
      </c>
      <c r="B518" s="8" t="s">
        <v>2173</v>
      </c>
      <c r="C518" s="8" t="n">
        <v>2020</v>
      </c>
      <c r="D518" s="8" t="s">
        <v>58</v>
      </c>
      <c r="E518" s="8" t="s">
        <v>2174</v>
      </c>
      <c r="F518" s="8" t="s">
        <v>782</v>
      </c>
      <c r="G518" s="8" t="s">
        <v>783</v>
      </c>
      <c r="H518" s="8" t="s">
        <v>784</v>
      </c>
    </row>
    <row r="519" customFormat="false" ht="15" hidden="false" customHeight="false" outlineLevel="0" collapsed="false">
      <c r="A519" s="8" t="s">
        <v>2175</v>
      </c>
      <c r="B519" s="8" t="s">
        <v>2176</v>
      </c>
      <c r="C519" s="8" t="n">
        <v>2020</v>
      </c>
      <c r="D519" s="8" t="s">
        <v>58</v>
      </c>
      <c r="E519" s="8" t="s">
        <v>2177</v>
      </c>
      <c r="F519" s="8" t="s">
        <v>782</v>
      </c>
      <c r="G519" s="8" t="s">
        <v>801</v>
      </c>
      <c r="H519" s="8" t="s">
        <v>915</v>
      </c>
    </row>
    <row r="520" customFormat="false" ht="15" hidden="false" customHeight="false" outlineLevel="0" collapsed="false">
      <c r="A520" s="8" t="s">
        <v>2178</v>
      </c>
      <c r="B520" s="8" t="s">
        <v>2179</v>
      </c>
      <c r="C520" s="8" t="n">
        <v>2021</v>
      </c>
      <c r="D520" s="8" t="s">
        <v>58</v>
      </c>
      <c r="E520" s="8" t="s">
        <v>2180</v>
      </c>
      <c r="F520" s="8" t="s">
        <v>782</v>
      </c>
      <c r="G520" s="8" t="s">
        <v>783</v>
      </c>
      <c r="H520" s="8" t="s">
        <v>784</v>
      </c>
    </row>
    <row r="521" customFormat="false" ht="15" hidden="false" customHeight="false" outlineLevel="0" collapsed="false">
      <c r="A521" s="8" t="s">
        <v>2181</v>
      </c>
      <c r="B521" s="8" t="s">
        <v>2182</v>
      </c>
      <c r="C521" s="8" t="n">
        <v>2020</v>
      </c>
      <c r="D521" s="8" t="s">
        <v>58</v>
      </c>
      <c r="E521" s="8" t="s">
        <v>2183</v>
      </c>
      <c r="F521" s="8" t="s">
        <v>782</v>
      </c>
      <c r="G521" s="8" t="s">
        <v>783</v>
      </c>
      <c r="H521" s="8" t="s">
        <v>784</v>
      </c>
    </row>
    <row r="522" customFormat="false" ht="15" hidden="false" customHeight="false" outlineLevel="0" collapsed="false">
      <c r="A522" s="8" t="s">
        <v>2184</v>
      </c>
      <c r="B522" s="8" t="s">
        <v>2185</v>
      </c>
      <c r="C522" s="8" t="n">
        <v>2023</v>
      </c>
      <c r="D522" s="8" t="s">
        <v>83</v>
      </c>
      <c r="E522" s="8" t="s">
        <v>2186</v>
      </c>
      <c r="F522" s="8" t="s">
        <v>782</v>
      </c>
      <c r="G522" s="8" t="s">
        <v>783</v>
      </c>
      <c r="H522" s="8" t="s">
        <v>784</v>
      </c>
    </row>
    <row r="523" customFormat="false" ht="15" hidden="false" customHeight="false" outlineLevel="0" collapsed="false">
      <c r="A523" s="8" t="s">
        <v>2187</v>
      </c>
      <c r="B523" s="8" t="s">
        <v>2188</v>
      </c>
      <c r="C523" s="8" t="n">
        <v>2019</v>
      </c>
      <c r="D523" s="8" t="s">
        <v>58</v>
      </c>
      <c r="E523" s="8" t="s">
        <v>2189</v>
      </c>
      <c r="F523" s="8" t="s">
        <v>782</v>
      </c>
      <c r="G523" s="8" t="s">
        <v>801</v>
      </c>
      <c r="H523" s="8" t="s">
        <v>802</v>
      </c>
    </row>
    <row r="524" customFormat="false" ht="15" hidden="false" customHeight="false" outlineLevel="0" collapsed="false">
      <c r="A524" s="8" t="s">
        <v>2190</v>
      </c>
      <c r="B524" s="8" t="s">
        <v>2191</v>
      </c>
      <c r="C524" s="8" t="n">
        <v>2022</v>
      </c>
      <c r="D524" s="8" t="s">
        <v>58</v>
      </c>
      <c r="E524" s="8" t="s">
        <v>2192</v>
      </c>
      <c r="F524" s="8" t="s">
        <v>782</v>
      </c>
      <c r="G524" s="8" t="s">
        <v>783</v>
      </c>
      <c r="H524" s="8" t="s">
        <v>784</v>
      </c>
    </row>
    <row r="525" customFormat="false" ht="15" hidden="false" customHeight="false" outlineLevel="0" collapsed="false">
      <c r="A525" s="8" t="s">
        <v>2193</v>
      </c>
      <c r="B525" s="8" t="s">
        <v>2194</v>
      </c>
      <c r="C525" s="8" t="n">
        <v>2021</v>
      </c>
      <c r="D525" s="8" t="s">
        <v>58</v>
      </c>
      <c r="E525" s="8" t="s">
        <v>2195</v>
      </c>
      <c r="F525" s="8" t="s">
        <v>782</v>
      </c>
      <c r="G525" s="8" t="s">
        <v>801</v>
      </c>
      <c r="H525" s="8" t="s">
        <v>802</v>
      </c>
    </row>
    <row r="526" customFormat="false" ht="15" hidden="false" customHeight="false" outlineLevel="0" collapsed="false">
      <c r="A526" s="8" t="s">
        <v>2196</v>
      </c>
      <c r="B526" s="8" t="s">
        <v>2197</v>
      </c>
      <c r="C526" s="8" t="n">
        <v>2020</v>
      </c>
      <c r="D526" s="8" t="s">
        <v>58</v>
      </c>
      <c r="E526" s="8" t="s">
        <v>2198</v>
      </c>
      <c r="F526" s="8" t="s">
        <v>782</v>
      </c>
      <c r="G526" s="8" t="s">
        <v>783</v>
      </c>
      <c r="H526" s="8" t="s">
        <v>784</v>
      </c>
    </row>
    <row r="527" customFormat="false" ht="15" hidden="false" customHeight="false" outlineLevel="0" collapsed="false">
      <c r="A527" s="8" t="s">
        <v>2199</v>
      </c>
      <c r="B527" s="8" t="s">
        <v>2200</v>
      </c>
      <c r="C527" s="8" t="n">
        <v>2020</v>
      </c>
      <c r="D527" s="8" t="s">
        <v>58</v>
      </c>
      <c r="E527" s="8" t="s">
        <v>2201</v>
      </c>
      <c r="F527" s="8" t="s">
        <v>782</v>
      </c>
      <c r="G527" s="8" t="s">
        <v>783</v>
      </c>
      <c r="H527" s="8" t="s">
        <v>861</v>
      </c>
    </row>
    <row r="528" customFormat="false" ht="15" hidden="false" customHeight="false" outlineLevel="0" collapsed="false">
      <c r="A528" s="8" t="s">
        <v>2202</v>
      </c>
      <c r="B528" s="8" t="s">
        <v>2203</v>
      </c>
      <c r="C528" s="8" t="n">
        <v>2022</v>
      </c>
      <c r="D528" s="8" t="s">
        <v>83</v>
      </c>
      <c r="E528" s="8" t="s">
        <v>2204</v>
      </c>
      <c r="F528" s="8" t="s">
        <v>782</v>
      </c>
      <c r="G528" s="8" t="s">
        <v>783</v>
      </c>
      <c r="H528" s="8" t="s">
        <v>784</v>
      </c>
    </row>
    <row r="529" customFormat="false" ht="15" hidden="false" customHeight="false" outlineLevel="0" collapsed="false">
      <c r="A529" s="8" t="s">
        <v>435</v>
      </c>
      <c r="B529" s="8" t="s">
        <v>437</v>
      </c>
      <c r="C529" s="8" t="n">
        <v>2022</v>
      </c>
      <c r="D529" s="8" t="s">
        <v>58</v>
      </c>
      <c r="E529" s="8" t="s">
        <v>438</v>
      </c>
      <c r="F529" s="8" t="s">
        <v>852</v>
      </c>
      <c r="G529" s="8" t="s">
        <v>853</v>
      </c>
      <c r="H529" s="8" t="s">
        <v>854</v>
      </c>
    </row>
    <row r="530" customFormat="false" ht="15" hidden="false" customHeight="false" outlineLevel="0" collapsed="false">
      <c r="A530" s="8" t="s">
        <v>2205</v>
      </c>
      <c r="B530" s="8" t="s">
        <v>2206</v>
      </c>
      <c r="C530" s="8" t="n">
        <v>2020</v>
      </c>
      <c r="D530" s="8" t="s">
        <v>83</v>
      </c>
      <c r="E530" s="8" t="s">
        <v>2207</v>
      </c>
      <c r="F530" s="8" t="s">
        <v>782</v>
      </c>
      <c r="G530" s="8" t="s">
        <v>783</v>
      </c>
      <c r="H530" s="8" t="s">
        <v>784</v>
      </c>
    </row>
    <row r="531" customFormat="false" ht="15" hidden="false" customHeight="false" outlineLevel="0" collapsed="false">
      <c r="A531" s="8" t="s">
        <v>2208</v>
      </c>
      <c r="B531" s="8" t="s">
        <v>2209</v>
      </c>
      <c r="C531" s="8" t="n">
        <v>2022</v>
      </c>
      <c r="D531" s="8" t="s">
        <v>83</v>
      </c>
      <c r="E531" s="8" t="s">
        <v>2210</v>
      </c>
      <c r="F531" s="8" t="s">
        <v>782</v>
      </c>
      <c r="G531" s="8" t="s">
        <v>783</v>
      </c>
      <c r="H531" s="8" t="s">
        <v>784</v>
      </c>
    </row>
    <row r="532" customFormat="false" ht="15" hidden="false" customHeight="false" outlineLevel="0" collapsed="false">
      <c r="A532" s="8" t="s">
        <v>2211</v>
      </c>
      <c r="B532" s="8" t="s">
        <v>2212</v>
      </c>
      <c r="C532" s="8" t="n">
        <v>2020</v>
      </c>
      <c r="D532" s="8" t="s">
        <v>58</v>
      </c>
      <c r="E532" s="8" t="s">
        <v>2213</v>
      </c>
      <c r="F532" s="8" t="s">
        <v>782</v>
      </c>
      <c r="G532" s="8" t="s">
        <v>783</v>
      </c>
      <c r="H532" s="8" t="s">
        <v>784</v>
      </c>
    </row>
    <row r="533" customFormat="false" ht="15" hidden="false" customHeight="false" outlineLevel="0" collapsed="false">
      <c r="A533" s="8" t="s">
        <v>2214</v>
      </c>
      <c r="B533" s="8" t="s">
        <v>2215</v>
      </c>
      <c r="C533" s="8" t="n">
        <v>2022</v>
      </c>
      <c r="D533" s="8" t="s">
        <v>58</v>
      </c>
      <c r="E533" s="8" t="s">
        <v>2216</v>
      </c>
      <c r="F533" s="8" t="s">
        <v>782</v>
      </c>
      <c r="G533" s="8" t="s">
        <v>783</v>
      </c>
      <c r="H533" s="8" t="s">
        <v>784</v>
      </c>
    </row>
    <row r="534" customFormat="false" ht="15" hidden="false" customHeight="false" outlineLevel="0" collapsed="false">
      <c r="A534" s="8" t="s">
        <v>2217</v>
      </c>
      <c r="B534" s="8" t="s">
        <v>2218</v>
      </c>
      <c r="C534" s="8" t="n">
        <v>2022</v>
      </c>
      <c r="D534" s="8" t="s">
        <v>58</v>
      </c>
      <c r="E534" s="8" t="s">
        <v>2219</v>
      </c>
      <c r="F534" s="8" t="s">
        <v>782</v>
      </c>
      <c r="G534" s="8" t="s">
        <v>783</v>
      </c>
      <c r="H534" s="8" t="s">
        <v>784</v>
      </c>
    </row>
    <row r="535" customFormat="false" ht="15" hidden="false" customHeight="false" outlineLevel="0" collapsed="false">
      <c r="A535" s="8" t="s">
        <v>2220</v>
      </c>
      <c r="B535" s="8" t="s">
        <v>2221</v>
      </c>
      <c r="C535" s="8" t="n">
        <v>2021</v>
      </c>
      <c r="D535" s="8" t="s">
        <v>58</v>
      </c>
      <c r="E535" s="8" t="s">
        <v>2222</v>
      </c>
      <c r="F535" s="8" t="s">
        <v>782</v>
      </c>
      <c r="G535" s="8" t="s">
        <v>783</v>
      </c>
      <c r="H535" s="8" t="s">
        <v>784</v>
      </c>
    </row>
    <row r="536" customFormat="false" ht="15" hidden="false" customHeight="false" outlineLevel="0" collapsed="false">
      <c r="A536" s="8" t="s">
        <v>2223</v>
      </c>
      <c r="B536" s="8" t="s">
        <v>2224</v>
      </c>
      <c r="C536" s="8" t="n">
        <v>2019</v>
      </c>
      <c r="D536" s="8" t="s">
        <v>58</v>
      </c>
      <c r="E536" s="8" t="s">
        <v>2225</v>
      </c>
      <c r="F536" s="8" t="s">
        <v>782</v>
      </c>
      <c r="G536" s="8" t="s">
        <v>783</v>
      </c>
      <c r="H536" s="8" t="s">
        <v>784</v>
      </c>
    </row>
    <row r="537" customFormat="false" ht="15" hidden="false" customHeight="false" outlineLevel="0" collapsed="false">
      <c r="A537" s="8" t="s">
        <v>2226</v>
      </c>
      <c r="B537" s="8" t="s">
        <v>2227</v>
      </c>
      <c r="C537" s="8" t="n">
        <v>2019</v>
      </c>
      <c r="D537" s="8" t="s">
        <v>58</v>
      </c>
      <c r="E537" s="8" t="s">
        <v>2228</v>
      </c>
      <c r="F537" s="8" t="s">
        <v>782</v>
      </c>
      <c r="G537" s="8" t="s">
        <v>783</v>
      </c>
      <c r="H537" s="8" t="s">
        <v>784</v>
      </c>
    </row>
    <row r="538" customFormat="false" ht="15" hidden="false" customHeight="false" outlineLevel="0" collapsed="false">
      <c r="A538" s="8" t="s">
        <v>2229</v>
      </c>
      <c r="B538" s="8" t="s">
        <v>2230</v>
      </c>
      <c r="C538" s="8" t="n">
        <v>2023</v>
      </c>
      <c r="D538" s="8" t="s">
        <v>58</v>
      </c>
      <c r="E538" s="8" t="s">
        <v>2231</v>
      </c>
      <c r="F538" s="8" t="s">
        <v>782</v>
      </c>
      <c r="G538" s="8" t="s">
        <v>783</v>
      </c>
      <c r="H538" s="8" t="s">
        <v>784</v>
      </c>
    </row>
    <row r="539" customFormat="false" ht="15" hidden="false" customHeight="false" outlineLevel="0" collapsed="false">
      <c r="A539" s="8" t="s">
        <v>2232</v>
      </c>
      <c r="B539" s="8" t="s">
        <v>2233</v>
      </c>
      <c r="C539" s="8" t="n">
        <v>2020</v>
      </c>
      <c r="D539" s="8" t="s">
        <v>58</v>
      </c>
      <c r="E539" s="8" t="s">
        <v>2234</v>
      </c>
      <c r="F539" s="8" t="s">
        <v>782</v>
      </c>
      <c r="G539" s="8" t="s">
        <v>783</v>
      </c>
      <c r="H539" s="8" t="s">
        <v>784</v>
      </c>
    </row>
    <row r="540" customFormat="false" ht="15" hidden="false" customHeight="false" outlineLevel="0" collapsed="false">
      <c r="A540" s="8" t="s">
        <v>2235</v>
      </c>
      <c r="B540" s="8" t="s">
        <v>2236</v>
      </c>
      <c r="C540" s="8" t="n">
        <v>2020</v>
      </c>
      <c r="D540" s="8" t="s">
        <v>58</v>
      </c>
      <c r="E540" s="8" t="s">
        <v>2237</v>
      </c>
      <c r="F540" s="8" t="s">
        <v>782</v>
      </c>
      <c r="G540" s="8" t="s">
        <v>801</v>
      </c>
      <c r="H540" s="8" t="s">
        <v>915</v>
      </c>
    </row>
    <row r="541" customFormat="false" ht="15" hidden="false" customHeight="false" outlineLevel="0" collapsed="false">
      <c r="A541" s="8" t="s">
        <v>2238</v>
      </c>
      <c r="B541" s="8" t="s">
        <v>2239</v>
      </c>
      <c r="C541" s="8" t="n">
        <v>2023</v>
      </c>
      <c r="D541" s="8" t="s">
        <v>58</v>
      </c>
      <c r="E541" s="8" t="s">
        <v>2240</v>
      </c>
      <c r="F541" s="8" t="s">
        <v>782</v>
      </c>
      <c r="G541" s="8" t="s">
        <v>788</v>
      </c>
      <c r="H541" s="8" t="s">
        <v>789</v>
      </c>
    </row>
    <row r="542" customFormat="false" ht="15" hidden="false" customHeight="false" outlineLevel="0" collapsed="false">
      <c r="A542" s="8" t="s">
        <v>2241</v>
      </c>
      <c r="B542" s="8" t="s">
        <v>2242</v>
      </c>
      <c r="C542" s="8" t="n">
        <v>2021</v>
      </c>
      <c r="D542" s="8" t="s">
        <v>74</v>
      </c>
      <c r="E542" s="8" t="s">
        <v>2243</v>
      </c>
      <c r="F542" s="8" t="s">
        <v>782</v>
      </c>
      <c r="G542" s="8" t="s">
        <v>895</v>
      </c>
      <c r="H542" s="8" t="s">
        <v>896</v>
      </c>
    </row>
    <row r="543" customFormat="false" ht="15" hidden="false" customHeight="false" outlineLevel="0" collapsed="false">
      <c r="A543" s="8" t="s">
        <v>2244</v>
      </c>
      <c r="B543" s="8" t="s">
        <v>2245</v>
      </c>
      <c r="C543" s="8" t="n">
        <v>2021</v>
      </c>
      <c r="D543" s="8" t="s">
        <v>58</v>
      </c>
      <c r="E543" s="8" t="s">
        <v>2246</v>
      </c>
      <c r="F543" s="8" t="s">
        <v>782</v>
      </c>
      <c r="G543" s="8" t="s">
        <v>783</v>
      </c>
      <c r="H543" s="8" t="s">
        <v>784</v>
      </c>
    </row>
    <row r="544" customFormat="false" ht="15" hidden="false" customHeight="false" outlineLevel="0" collapsed="false">
      <c r="A544" s="8" t="s">
        <v>2247</v>
      </c>
      <c r="B544" s="8" t="s">
        <v>2248</v>
      </c>
      <c r="C544" s="8" t="n">
        <v>2023</v>
      </c>
      <c r="D544" s="8" t="s">
        <v>58</v>
      </c>
      <c r="E544" s="8" t="s">
        <v>2249</v>
      </c>
      <c r="F544" s="8" t="s">
        <v>782</v>
      </c>
      <c r="G544" s="8" t="s">
        <v>895</v>
      </c>
      <c r="H544" s="8" t="s">
        <v>896</v>
      </c>
    </row>
    <row r="545" customFormat="false" ht="15" hidden="false" customHeight="false" outlineLevel="0" collapsed="false">
      <c r="A545" s="8" t="s">
        <v>2250</v>
      </c>
      <c r="B545" s="8" t="s">
        <v>2251</v>
      </c>
      <c r="C545" s="8" t="n">
        <v>2023</v>
      </c>
      <c r="D545" s="8" t="s">
        <v>58</v>
      </c>
      <c r="E545" s="8" t="s">
        <v>2252</v>
      </c>
      <c r="F545" s="8" t="s">
        <v>782</v>
      </c>
      <c r="G545" s="8" t="s">
        <v>783</v>
      </c>
      <c r="H545" s="8" t="s">
        <v>784</v>
      </c>
    </row>
    <row r="546" customFormat="false" ht="15" hidden="false" customHeight="false" outlineLevel="0" collapsed="false">
      <c r="A546" s="8" t="s">
        <v>2253</v>
      </c>
      <c r="B546" s="8" t="s">
        <v>2254</v>
      </c>
      <c r="C546" s="8" t="n">
        <v>2022</v>
      </c>
      <c r="D546" s="8" t="s">
        <v>58</v>
      </c>
      <c r="E546" s="8" t="s">
        <v>2255</v>
      </c>
      <c r="F546" s="8" t="s">
        <v>782</v>
      </c>
      <c r="G546" s="8" t="s">
        <v>783</v>
      </c>
      <c r="H546" s="8" t="s">
        <v>784</v>
      </c>
    </row>
    <row r="547" customFormat="false" ht="15" hidden="false" customHeight="false" outlineLevel="0" collapsed="false">
      <c r="A547" s="8" t="s">
        <v>2256</v>
      </c>
      <c r="B547" s="8" t="s">
        <v>2257</v>
      </c>
      <c r="C547" s="8" t="n">
        <v>2020</v>
      </c>
      <c r="D547" s="8" t="s">
        <v>58</v>
      </c>
      <c r="E547" s="8" t="s">
        <v>2258</v>
      </c>
      <c r="F547" s="8" t="s">
        <v>782</v>
      </c>
      <c r="G547" s="8" t="s">
        <v>801</v>
      </c>
      <c r="H547" s="8" t="s">
        <v>915</v>
      </c>
    </row>
    <row r="548" customFormat="false" ht="15" hidden="false" customHeight="false" outlineLevel="0" collapsed="false">
      <c r="A548" s="8" t="s">
        <v>2259</v>
      </c>
      <c r="B548" s="8" t="s">
        <v>2260</v>
      </c>
      <c r="C548" s="8" t="n">
        <v>2022</v>
      </c>
      <c r="D548" s="8" t="s">
        <v>58</v>
      </c>
      <c r="E548" s="8" t="s">
        <v>2261</v>
      </c>
      <c r="F548" s="8" t="s">
        <v>782</v>
      </c>
      <c r="G548" s="8" t="s">
        <v>783</v>
      </c>
      <c r="H548" s="8" t="s">
        <v>784</v>
      </c>
    </row>
    <row r="549" customFormat="false" ht="15" hidden="false" customHeight="false" outlineLevel="0" collapsed="false">
      <c r="A549" s="8" t="s">
        <v>2262</v>
      </c>
      <c r="B549" s="8" t="s">
        <v>2263</v>
      </c>
      <c r="C549" s="8" t="n">
        <v>2023</v>
      </c>
      <c r="D549" s="8" t="s">
        <v>83</v>
      </c>
      <c r="E549" s="8" t="s">
        <v>2264</v>
      </c>
      <c r="F549" s="8" t="s">
        <v>782</v>
      </c>
      <c r="G549" s="8" t="s">
        <v>783</v>
      </c>
      <c r="H549" s="8" t="s">
        <v>784</v>
      </c>
    </row>
    <row r="550" customFormat="false" ht="15" hidden="false" customHeight="false" outlineLevel="0" collapsed="false">
      <c r="A550" s="8" t="s">
        <v>2265</v>
      </c>
      <c r="B550" s="8" t="s">
        <v>2266</v>
      </c>
      <c r="C550" s="8" t="n">
        <v>2022</v>
      </c>
      <c r="D550" s="8" t="s">
        <v>83</v>
      </c>
      <c r="E550" s="8" t="s">
        <v>2267</v>
      </c>
      <c r="F550" s="8" t="s">
        <v>782</v>
      </c>
      <c r="G550" s="8" t="s">
        <v>895</v>
      </c>
      <c r="H550" s="8" t="s">
        <v>896</v>
      </c>
    </row>
    <row r="551" customFormat="false" ht="15" hidden="false" customHeight="false" outlineLevel="0" collapsed="false">
      <c r="A551" s="8" t="s">
        <v>379</v>
      </c>
      <c r="B551" s="8" t="s">
        <v>381</v>
      </c>
      <c r="C551" s="8" t="n">
        <v>2023</v>
      </c>
      <c r="D551" s="8" t="s">
        <v>58</v>
      </c>
      <c r="E551" s="8" t="s">
        <v>383</v>
      </c>
      <c r="F551" s="8" t="s">
        <v>852</v>
      </c>
      <c r="G551" s="8" t="s">
        <v>853</v>
      </c>
      <c r="H551" s="8" t="s">
        <v>854</v>
      </c>
    </row>
    <row r="552" customFormat="false" ht="15" hidden="false" customHeight="false" outlineLevel="0" collapsed="false">
      <c r="A552" s="8" t="s">
        <v>440</v>
      </c>
      <c r="B552" s="8" t="s">
        <v>442</v>
      </c>
      <c r="C552" s="8" t="n">
        <v>2022</v>
      </c>
      <c r="D552" s="8" t="s">
        <v>58</v>
      </c>
      <c r="E552" s="8" t="s">
        <v>444</v>
      </c>
      <c r="F552" s="8" t="s">
        <v>852</v>
      </c>
      <c r="G552" s="8" t="s">
        <v>853</v>
      </c>
      <c r="H552" s="8" t="s">
        <v>854</v>
      </c>
    </row>
    <row r="553" customFormat="false" ht="15" hidden="false" customHeight="false" outlineLevel="0" collapsed="false">
      <c r="A553" s="8" t="s">
        <v>2268</v>
      </c>
      <c r="B553" s="8" t="s">
        <v>2269</v>
      </c>
      <c r="C553" s="8" t="n">
        <v>2020</v>
      </c>
      <c r="D553" s="8" t="s">
        <v>58</v>
      </c>
      <c r="E553" s="8" t="s">
        <v>2270</v>
      </c>
      <c r="F553" s="8" t="s">
        <v>782</v>
      </c>
      <c r="G553" s="8" t="s">
        <v>783</v>
      </c>
      <c r="H553" s="8" t="s">
        <v>861</v>
      </c>
    </row>
    <row r="554" customFormat="false" ht="15" hidden="false" customHeight="false" outlineLevel="0" collapsed="false">
      <c r="A554" s="8" t="s">
        <v>2271</v>
      </c>
      <c r="B554" s="8" t="s">
        <v>2272</v>
      </c>
      <c r="C554" s="8" t="n">
        <v>2019</v>
      </c>
      <c r="D554" s="8" t="s">
        <v>58</v>
      </c>
      <c r="E554" s="8" t="s">
        <v>2273</v>
      </c>
      <c r="F554" s="8" t="s">
        <v>782</v>
      </c>
      <c r="G554" s="8" t="s">
        <v>783</v>
      </c>
      <c r="H554" s="8" t="s">
        <v>784</v>
      </c>
    </row>
    <row r="555" customFormat="false" ht="15" hidden="false" customHeight="false" outlineLevel="0" collapsed="false">
      <c r="A555" s="8" t="s">
        <v>2274</v>
      </c>
      <c r="B555" s="8" t="s">
        <v>2275</v>
      </c>
      <c r="C555" s="8" t="n">
        <v>2019</v>
      </c>
      <c r="D555" s="8" t="s">
        <v>58</v>
      </c>
      <c r="E555" s="8" t="s">
        <v>2276</v>
      </c>
      <c r="F555" s="8" t="s">
        <v>782</v>
      </c>
      <c r="G555" s="8" t="s">
        <v>783</v>
      </c>
      <c r="H555" s="8" t="s">
        <v>784</v>
      </c>
    </row>
    <row r="556" customFormat="false" ht="15" hidden="false" customHeight="false" outlineLevel="0" collapsed="false">
      <c r="A556" s="8" t="s">
        <v>2277</v>
      </c>
      <c r="B556" s="8" t="s">
        <v>2278</v>
      </c>
      <c r="C556" s="8" t="n">
        <v>2023</v>
      </c>
      <c r="D556" s="8" t="s">
        <v>58</v>
      </c>
      <c r="E556" s="8" t="s">
        <v>2279</v>
      </c>
      <c r="F556" s="8" t="s">
        <v>782</v>
      </c>
      <c r="G556" s="8" t="s">
        <v>783</v>
      </c>
      <c r="H556" s="8" t="s">
        <v>784</v>
      </c>
    </row>
    <row r="557" customFormat="false" ht="15" hidden="false" customHeight="false" outlineLevel="0" collapsed="false">
      <c r="A557" s="8" t="s">
        <v>2280</v>
      </c>
      <c r="B557" s="8" t="s">
        <v>2281</v>
      </c>
      <c r="C557" s="8" t="n">
        <v>2023</v>
      </c>
      <c r="D557" s="8" t="s">
        <v>58</v>
      </c>
      <c r="E557" s="8"/>
      <c r="F557" s="8" t="s">
        <v>782</v>
      </c>
      <c r="G557" s="8" t="s">
        <v>783</v>
      </c>
      <c r="H557" s="8" t="s">
        <v>784</v>
      </c>
    </row>
    <row r="558" customFormat="false" ht="15" hidden="false" customHeight="false" outlineLevel="0" collapsed="false">
      <c r="A558" s="8" t="s">
        <v>2282</v>
      </c>
      <c r="B558" s="8" t="s">
        <v>2283</v>
      </c>
      <c r="C558" s="8" t="n">
        <v>2022</v>
      </c>
      <c r="D558" s="8" t="s">
        <v>58</v>
      </c>
      <c r="E558" s="8" t="s">
        <v>2284</v>
      </c>
      <c r="F558" s="8" t="s">
        <v>782</v>
      </c>
      <c r="G558" s="8" t="s">
        <v>783</v>
      </c>
      <c r="H558" s="8" t="s">
        <v>784</v>
      </c>
    </row>
    <row r="559" customFormat="false" ht="15" hidden="false" customHeight="false" outlineLevel="0" collapsed="false">
      <c r="A559" s="8" t="s">
        <v>2285</v>
      </c>
      <c r="B559" s="8" t="s">
        <v>2286</v>
      </c>
      <c r="C559" s="8" t="n">
        <v>2019</v>
      </c>
      <c r="D559" s="8" t="s">
        <v>58</v>
      </c>
      <c r="E559" s="8" t="s">
        <v>2287</v>
      </c>
      <c r="F559" s="8" t="s">
        <v>782</v>
      </c>
      <c r="G559" s="8" t="s">
        <v>783</v>
      </c>
      <c r="H559" s="8" t="s">
        <v>861</v>
      </c>
    </row>
    <row r="560" customFormat="false" ht="15" hidden="false" customHeight="false" outlineLevel="0" collapsed="false">
      <c r="A560" s="8" t="s">
        <v>2288</v>
      </c>
      <c r="B560" s="8" t="s">
        <v>2289</v>
      </c>
      <c r="C560" s="8" t="n">
        <v>2021</v>
      </c>
      <c r="D560" s="8" t="s">
        <v>58</v>
      </c>
      <c r="E560" s="8" t="s">
        <v>2290</v>
      </c>
      <c r="F560" s="8" t="s">
        <v>782</v>
      </c>
      <c r="G560" s="8" t="s">
        <v>788</v>
      </c>
      <c r="H560" s="8" t="s">
        <v>789</v>
      </c>
    </row>
    <row r="561" customFormat="false" ht="15" hidden="false" customHeight="false" outlineLevel="0" collapsed="false">
      <c r="A561" s="8" t="s">
        <v>2291</v>
      </c>
      <c r="B561" s="8" t="s">
        <v>2292</v>
      </c>
      <c r="C561" s="8" t="n">
        <v>2020</v>
      </c>
      <c r="D561" s="8" t="s">
        <v>58</v>
      </c>
      <c r="E561" s="8" t="s">
        <v>2293</v>
      </c>
      <c r="F561" s="8" t="s">
        <v>782</v>
      </c>
      <c r="G561" s="8" t="s">
        <v>821</v>
      </c>
      <c r="H561" s="8" t="s">
        <v>822</v>
      </c>
    </row>
    <row r="562" customFormat="false" ht="15" hidden="false" customHeight="false" outlineLevel="0" collapsed="false">
      <c r="A562" s="8" t="s">
        <v>2294</v>
      </c>
      <c r="B562" s="8" t="s">
        <v>2295</v>
      </c>
      <c r="C562" s="8" t="n">
        <v>2020</v>
      </c>
      <c r="D562" s="8" t="s">
        <v>58</v>
      </c>
      <c r="E562" s="8" t="s">
        <v>2296</v>
      </c>
      <c r="F562" s="8" t="s">
        <v>782</v>
      </c>
      <c r="G562" s="8" t="s">
        <v>783</v>
      </c>
      <c r="H562" s="8" t="s">
        <v>784</v>
      </c>
    </row>
    <row r="563" customFormat="false" ht="15" hidden="false" customHeight="false" outlineLevel="0" collapsed="false">
      <c r="A563" s="8" t="s">
        <v>2297</v>
      </c>
      <c r="B563" s="8" t="s">
        <v>2298</v>
      </c>
      <c r="C563" s="8" t="n">
        <v>2020</v>
      </c>
      <c r="D563" s="8" t="s">
        <v>58</v>
      </c>
      <c r="E563" s="8" t="s">
        <v>2299</v>
      </c>
      <c r="F563" s="8" t="s">
        <v>782</v>
      </c>
      <c r="G563" s="8" t="s">
        <v>801</v>
      </c>
      <c r="H563" s="8" t="s">
        <v>915</v>
      </c>
    </row>
    <row r="564" customFormat="false" ht="15" hidden="false" customHeight="false" outlineLevel="0" collapsed="false">
      <c r="A564" s="8" t="s">
        <v>2300</v>
      </c>
      <c r="B564" s="8" t="s">
        <v>2301</v>
      </c>
      <c r="C564" s="8" t="n">
        <v>2019</v>
      </c>
      <c r="D564" s="8" t="s">
        <v>83</v>
      </c>
      <c r="E564" s="8" t="s">
        <v>2302</v>
      </c>
      <c r="F564" s="8" t="s">
        <v>782</v>
      </c>
      <c r="G564" s="8" t="s">
        <v>783</v>
      </c>
      <c r="H564" s="8" t="s">
        <v>784</v>
      </c>
    </row>
    <row r="565" customFormat="false" ht="15" hidden="false" customHeight="false" outlineLevel="0" collapsed="false">
      <c r="A565" s="8" t="s">
        <v>2303</v>
      </c>
      <c r="B565" s="8" t="s">
        <v>2304</v>
      </c>
      <c r="C565" s="8" t="n">
        <v>2023</v>
      </c>
      <c r="D565" s="8" t="s">
        <v>58</v>
      </c>
      <c r="E565" s="8" t="s">
        <v>2305</v>
      </c>
      <c r="F565" s="8" t="s">
        <v>782</v>
      </c>
      <c r="G565" s="8" t="s">
        <v>783</v>
      </c>
      <c r="H565" s="8" t="s">
        <v>784</v>
      </c>
    </row>
    <row r="566" customFormat="false" ht="15" hidden="false" customHeight="false" outlineLevel="0" collapsed="false">
      <c r="A566" s="8" t="s">
        <v>511</v>
      </c>
      <c r="B566" s="8" t="s">
        <v>513</v>
      </c>
      <c r="C566" s="8" t="n">
        <v>2021</v>
      </c>
      <c r="D566" s="8" t="s">
        <v>58</v>
      </c>
      <c r="E566" s="8"/>
      <c r="F566" s="8" t="s">
        <v>852</v>
      </c>
      <c r="G566" s="8" t="s">
        <v>853</v>
      </c>
      <c r="H566" s="8" t="s">
        <v>854</v>
      </c>
    </row>
    <row r="567" customFormat="false" ht="15" hidden="false" customHeight="false" outlineLevel="0" collapsed="false">
      <c r="A567" s="8" t="s">
        <v>2306</v>
      </c>
      <c r="B567" s="8" t="s">
        <v>2307</v>
      </c>
      <c r="C567" s="8" t="n">
        <v>2020</v>
      </c>
      <c r="D567" s="8" t="s">
        <v>74</v>
      </c>
      <c r="E567" s="8" t="s">
        <v>2308</v>
      </c>
      <c r="F567" s="8" t="s">
        <v>782</v>
      </c>
      <c r="G567" s="8" t="s">
        <v>783</v>
      </c>
      <c r="H567" s="8" t="s">
        <v>861</v>
      </c>
    </row>
    <row r="568" customFormat="false" ht="15" hidden="false" customHeight="false" outlineLevel="0" collapsed="false">
      <c r="A568" s="8" t="s">
        <v>2309</v>
      </c>
      <c r="B568" s="8" t="s">
        <v>2310</v>
      </c>
      <c r="C568" s="8" t="n">
        <v>2019</v>
      </c>
      <c r="D568" s="8" t="s">
        <v>83</v>
      </c>
      <c r="E568" s="8" t="s">
        <v>2311</v>
      </c>
      <c r="F568" s="8" t="s">
        <v>782</v>
      </c>
      <c r="G568" s="8" t="s">
        <v>783</v>
      </c>
      <c r="H568" s="8" t="s">
        <v>784</v>
      </c>
    </row>
    <row r="569" customFormat="false" ht="15" hidden="false" customHeight="false" outlineLevel="0" collapsed="false">
      <c r="A569" s="8" t="s">
        <v>2312</v>
      </c>
      <c r="B569" s="8" t="s">
        <v>2313</v>
      </c>
      <c r="C569" s="8" t="n">
        <v>2020</v>
      </c>
      <c r="D569" s="8" t="s">
        <v>58</v>
      </c>
      <c r="E569" s="8" t="s">
        <v>2314</v>
      </c>
      <c r="F569" s="8" t="s">
        <v>782</v>
      </c>
      <c r="G569" s="8" t="s">
        <v>783</v>
      </c>
      <c r="H569" s="8" t="s">
        <v>784</v>
      </c>
    </row>
    <row r="570" customFormat="false" ht="15" hidden="false" customHeight="false" outlineLevel="0" collapsed="false">
      <c r="A570" s="8" t="s">
        <v>2315</v>
      </c>
      <c r="B570" s="8" t="s">
        <v>2316</v>
      </c>
      <c r="C570" s="8" t="n">
        <v>2019</v>
      </c>
      <c r="D570" s="8" t="s">
        <v>58</v>
      </c>
      <c r="E570" s="8" t="s">
        <v>2317</v>
      </c>
      <c r="F570" s="8" t="s">
        <v>782</v>
      </c>
      <c r="G570" s="8" t="s">
        <v>801</v>
      </c>
      <c r="H570" s="8" t="s">
        <v>802</v>
      </c>
    </row>
    <row r="571" customFormat="false" ht="15" hidden="false" customHeight="false" outlineLevel="0" collapsed="false">
      <c r="A571" s="8" t="s">
        <v>2318</v>
      </c>
      <c r="B571" s="8" t="s">
        <v>2319</v>
      </c>
      <c r="C571" s="8" t="n">
        <v>2020</v>
      </c>
      <c r="D571" s="8" t="s">
        <v>58</v>
      </c>
      <c r="E571" s="8" t="s">
        <v>2320</v>
      </c>
      <c r="F571" s="8" t="s">
        <v>782</v>
      </c>
      <c r="G571" s="8" t="s">
        <v>783</v>
      </c>
      <c r="H571" s="8" t="s">
        <v>784</v>
      </c>
    </row>
    <row r="572" customFormat="false" ht="15" hidden="false" customHeight="false" outlineLevel="0" collapsed="false">
      <c r="A572" s="8" t="s">
        <v>2321</v>
      </c>
      <c r="B572" s="8" t="s">
        <v>2322</v>
      </c>
      <c r="C572" s="8" t="n">
        <v>2020</v>
      </c>
      <c r="D572" s="8" t="s">
        <v>83</v>
      </c>
      <c r="E572" s="8" t="s">
        <v>2323</v>
      </c>
      <c r="F572" s="8" t="s">
        <v>782</v>
      </c>
      <c r="G572" s="8" t="s">
        <v>783</v>
      </c>
      <c r="H572" s="8" t="s">
        <v>784</v>
      </c>
    </row>
    <row r="573" customFormat="false" ht="15" hidden="false" customHeight="false" outlineLevel="0" collapsed="false">
      <c r="A573" s="8" t="s">
        <v>2324</v>
      </c>
      <c r="B573" s="8" t="s">
        <v>2325</v>
      </c>
      <c r="C573" s="8" t="n">
        <v>2020</v>
      </c>
      <c r="D573" s="8" t="s">
        <v>58</v>
      </c>
      <c r="E573" s="8" t="s">
        <v>2326</v>
      </c>
      <c r="F573" s="8" t="s">
        <v>782</v>
      </c>
      <c r="G573" s="8" t="s">
        <v>801</v>
      </c>
      <c r="H573" s="8" t="s">
        <v>802</v>
      </c>
    </row>
    <row r="574" customFormat="false" ht="15" hidden="false" customHeight="false" outlineLevel="0" collapsed="false">
      <c r="A574" s="8" t="s">
        <v>2327</v>
      </c>
      <c r="B574" s="8" t="s">
        <v>2328</v>
      </c>
      <c r="C574" s="8" t="n">
        <v>2021</v>
      </c>
      <c r="D574" s="8" t="s">
        <v>83</v>
      </c>
      <c r="E574" s="8" t="s">
        <v>2329</v>
      </c>
      <c r="F574" s="8" t="s">
        <v>782</v>
      </c>
      <c r="G574" s="8" t="s">
        <v>783</v>
      </c>
      <c r="H574" s="8" t="s">
        <v>784</v>
      </c>
    </row>
    <row r="575" customFormat="false" ht="15" hidden="false" customHeight="false" outlineLevel="0" collapsed="false">
      <c r="A575" s="8" t="s">
        <v>2330</v>
      </c>
      <c r="B575" s="8" t="s">
        <v>2331</v>
      </c>
      <c r="C575" s="8" t="n">
        <v>2022</v>
      </c>
      <c r="D575" s="8" t="s">
        <v>58</v>
      </c>
      <c r="E575" s="8" t="s">
        <v>2332</v>
      </c>
      <c r="F575" s="8" t="s">
        <v>782</v>
      </c>
      <c r="G575" s="8" t="s">
        <v>895</v>
      </c>
      <c r="H575" s="8" t="s">
        <v>896</v>
      </c>
    </row>
    <row r="576" customFormat="false" ht="15" hidden="false" customHeight="false" outlineLevel="0" collapsed="false">
      <c r="A576" s="8" t="s">
        <v>2333</v>
      </c>
      <c r="B576" s="8" t="s">
        <v>2334</v>
      </c>
      <c r="C576" s="8" t="n">
        <v>2019</v>
      </c>
      <c r="D576" s="8" t="s">
        <v>83</v>
      </c>
      <c r="E576" s="8" t="s">
        <v>2335</v>
      </c>
      <c r="F576" s="8" t="s">
        <v>782</v>
      </c>
      <c r="G576" s="8" t="s">
        <v>783</v>
      </c>
      <c r="H576" s="8" t="s">
        <v>784</v>
      </c>
    </row>
    <row r="577" customFormat="false" ht="15" hidden="false" customHeight="false" outlineLevel="0" collapsed="false">
      <c r="A577" s="8" t="s">
        <v>2336</v>
      </c>
      <c r="B577" s="8" t="s">
        <v>2337</v>
      </c>
      <c r="C577" s="8" t="n">
        <v>2023</v>
      </c>
      <c r="D577" s="8" t="s">
        <v>58</v>
      </c>
      <c r="E577" s="8" t="s">
        <v>2338</v>
      </c>
      <c r="F577" s="8" t="s">
        <v>782</v>
      </c>
      <c r="G577" s="8" t="s">
        <v>783</v>
      </c>
      <c r="H577" s="8" t="s">
        <v>784</v>
      </c>
    </row>
    <row r="578" customFormat="false" ht="15" hidden="false" customHeight="false" outlineLevel="0" collapsed="false">
      <c r="A578" s="8" t="s">
        <v>2339</v>
      </c>
      <c r="B578" s="8" t="s">
        <v>2340</v>
      </c>
      <c r="C578" s="8" t="n">
        <v>2022</v>
      </c>
      <c r="D578" s="8" t="s">
        <v>58</v>
      </c>
      <c r="E578" s="8" t="s">
        <v>2341</v>
      </c>
      <c r="F578" s="8" t="s">
        <v>782</v>
      </c>
      <c r="G578" s="8" t="s">
        <v>783</v>
      </c>
      <c r="H578" s="8" t="s">
        <v>784</v>
      </c>
    </row>
    <row r="579" customFormat="false" ht="15" hidden="false" customHeight="false" outlineLevel="0" collapsed="false">
      <c r="A579" s="8" t="s">
        <v>2342</v>
      </c>
      <c r="B579" s="8" t="s">
        <v>2343</v>
      </c>
      <c r="C579" s="8" t="n">
        <v>2023</v>
      </c>
      <c r="D579" s="8" t="s">
        <v>58</v>
      </c>
      <c r="E579" s="8" t="s">
        <v>2344</v>
      </c>
      <c r="F579" s="8" t="s">
        <v>782</v>
      </c>
      <c r="G579" s="8" t="s">
        <v>783</v>
      </c>
      <c r="H579" s="8" t="s">
        <v>861</v>
      </c>
    </row>
    <row r="580" customFormat="false" ht="15" hidden="false" customHeight="false" outlineLevel="0" collapsed="false">
      <c r="A580" s="8" t="s">
        <v>2345</v>
      </c>
      <c r="B580" s="8" t="s">
        <v>2346</v>
      </c>
      <c r="C580" s="8" t="n">
        <v>2022</v>
      </c>
      <c r="D580" s="8" t="s">
        <v>58</v>
      </c>
      <c r="E580" s="8" t="s">
        <v>2347</v>
      </c>
      <c r="F580" s="8" t="s">
        <v>782</v>
      </c>
      <c r="G580" s="8" t="s">
        <v>783</v>
      </c>
      <c r="H580" s="8" t="s">
        <v>784</v>
      </c>
    </row>
    <row r="581" customFormat="false" ht="15" hidden="false" customHeight="false" outlineLevel="0" collapsed="false">
      <c r="A581" s="8" t="s">
        <v>2348</v>
      </c>
      <c r="B581" s="8" t="s">
        <v>2349</v>
      </c>
      <c r="C581" s="8" t="n">
        <v>2019</v>
      </c>
      <c r="D581" s="8" t="s">
        <v>58</v>
      </c>
      <c r="E581" s="8"/>
      <c r="F581" s="8" t="s">
        <v>782</v>
      </c>
      <c r="G581" s="8" t="s">
        <v>783</v>
      </c>
      <c r="H581" s="8" t="s">
        <v>784</v>
      </c>
    </row>
    <row r="582" customFormat="false" ht="15" hidden="false" customHeight="false" outlineLevel="0" collapsed="false">
      <c r="A582" s="8" t="s">
        <v>2350</v>
      </c>
      <c r="B582" s="8" t="s">
        <v>2351</v>
      </c>
      <c r="C582" s="8" t="n">
        <v>2023</v>
      </c>
      <c r="D582" s="8" t="s">
        <v>83</v>
      </c>
      <c r="E582" s="8" t="s">
        <v>2352</v>
      </c>
      <c r="F582" s="8" t="s">
        <v>782</v>
      </c>
      <c r="G582" s="8" t="s">
        <v>783</v>
      </c>
      <c r="H582" s="8" t="s">
        <v>861</v>
      </c>
    </row>
    <row r="583" customFormat="false" ht="15" hidden="false" customHeight="false" outlineLevel="0" collapsed="false">
      <c r="A583" s="8" t="s">
        <v>2353</v>
      </c>
      <c r="B583" s="8" t="s">
        <v>2354</v>
      </c>
      <c r="C583" s="8" t="n">
        <v>2023</v>
      </c>
      <c r="D583" s="8" t="s">
        <v>83</v>
      </c>
      <c r="E583" s="8" t="s">
        <v>2355</v>
      </c>
      <c r="F583" s="8" t="s">
        <v>782</v>
      </c>
      <c r="G583" s="8" t="s">
        <v>788</v>
      </c>
      <c r="H583" s="8" t="s">
        <v>789</v>
      </c>
    </row>
    <row r="584" customFormat="false" ht="15" hidden="false" customHeight="false" outlineLevel="0" collapsed="false">
      <c r="A584" s="8" t="s">
        <v>602</v>
      </c>
      <c r="B584" s="8" t="s">
        <v>603</v>
      </c>
      <c r="C584" s="8" t="n">
        <v>2019</v>
      </c>
      <c r="D584" s="8" t="s">
        <v>58</v>
      </c>
      <c r="E584" s="8"/>
      <c r="F584" s="8" t="s">
        <v>852</v>
      </c>
      <c r="G584" s="8" t="s">
        <v>853</v>
      </c>
      <c r="H584" s="8" t="s">
        <v>854</v>
      </c>
    </row>
    <row r="585" customFormat="false" ht="15" hidden="false" customHeight="false" outlineLevel="0" collapsed="false">
      <c r="A585" s="8" t="s">
        <v>2356</v>
      </c>
      <c r="B585" s="8" t="s">
        <v>2357</v>
      </c>
      <c r="C585" s="8" t="n">
        <v>2020</v>
      </c>
      <c r="D585" s="8" t="s">
        <v>58</v>
      </c>
      <c r="E585" s="8" t="s">
        <v>2358</v>
      </c>
      <c r="F585" s="8" t="s">
        <v>782</v>
      </c>
      <c r="G585" s="8" t="s">
        <v>783</v>
      </c>
      <c r="H585" s="8" t="s">
        <v>784</v>
      </c>
    </row>
    <row r="586" customFormat="false" ht="15" hidden="false" customHeight="false" outlineLevel="0" collapsed="false">
      <c r="A586" s="8" t="s">
        <v>2359</v>
      </c>
      <c r="B586" s="8" t="s">
        <v>2360</v>
      </c>
      <c r="C586" s="8" t="n">
        <v>2019</v>
      </c>
      <c r="D586" s="8" t="s">
        <v>58</v>
      </c>
      <c r="E586" s="8" t="s">
        <v>2361</v>
      </c>
      <c r="F586" s="8" t="s">
        <v>782</v>
      </c>
      <c r="G586" s="8" t="s">
        <v>783</v>
      </c>
      <c r="H586" s="8" t="s">
        <v>784</v>
      </c>
    </row>
    <row r="587" customFormat="false" ht="15" hidden="false" customHeight="false" outlineLevel="0" collapsed="false">
      <c r="A587" s="8" t="s">
        <v>2362</v>
      </c>
      <c r="B587" s="8" t="s">
        <v>2363</v>
      </c>
      <c r="C587" s="8" t="n">
        <v>2019</v>
      </c>
      <c r="D587" s="8" t="s">
        <v>58</v>
      </c>
      <c r="E587" s="8" t="s">
        <v>2364</v>
      </c>
      <c r="F587" s="8" t="s">
        <v>782</v>
      </c>
      <c r="G587" s="8" t="s">
        <v>783</v>
      </c>
      <c r="H587" s="8" t="s">
        <v>784</v>
      </c>
    </row>
    <row r="588" customFormat="false" ht="15" hidden="false" customHeight="false" outlineLevel="0" collapsed="false">
      <c r="A588" s="8" t="s">
        <v>2365</v>
      </c>
      <c r="B588" s="8" t="s">
        <v>2366</v>
      </c>
      <c r="C588" s="8" t="n">
        <v>2023</v>
      </c>
      <c r="D588" s="8" t="s">
        <v>58</v>
      </c>
      <c r="E588" s="8" t="s">
        <v>2367</v>
      </c>
      <c r="F588" s="8" t="s">
        <v>782</v>
      </c>
      <c r="G588" s="8" t="s">
        <v>783</v>
      </c>
      <c r="H588" s="8" t="s">
        <v>784</v>
      </c>
    </row>
    <row r="589" customFormat="false" ht="15" hidden="false" customHeight="false" outlineLevel="0" collapsed="false">
      <c r="A589" s="8" t="s">
        <v>2368</v>
      </c>
      <c r="B589" s="8" t="s">
        <v>2369</v>
      </c>
      <c r="C589" s="8" t="n">
        <v>2021</v>
      </c>
      <c r="D589" s="8" t="s">
        <v>58</v>
      </c>
      <c r="E589" s="8" t="s">
        <v>2370</v>
      </c>
      <c r="F589" s="8" t="s">
        <v>782</v>
      </c>
      <c r="G589" s="8" t="s">
        <v>783</v>
      </c>
      <c r="H589" s="8" t="s">
        <v>784</v>
      </c>
    </row>
    <row r="590" customFormat="false" ht="15" hidden="false" customHeight="false" outlineLevel="0" collapsed="false">
      <c r="A590" s="8" t="s">
        <v>2371</v>
      </c>
      <c r="B590" s="8" t="s">
        <v>2372</v>
      </c>
      <c r="C590" s="8" t="n">
        <v>2022</v>
      </c>
      <c r="D590" s="8" t="s">
        <v>83</v>
      </c>
      <c r="E590" s="8" t="s">
        <v>2373</v>
      </c>
      <c r="F590" s="8" t="s">
        <v>782</v>
      </c>
      <c r="G590" s="8" t="s">
        <v>783</v>
      </c>
      <c r="H590" s="8" t="s">
        <v>784</v>
      </c>
    </row>
    <row r="591" customFormat="false" ht="15" hidden="false" customHeight="false" outlineLevel="0" collapsed="false">
      <c r="A591" s="8" t="s">
        <v>2374</v>
      </c>
      <c r="B591" s="8" t="s">
        <v>2375</v>
      </c>
      <c r="C591" s="8" t="n">
        <v>2023</v>
      </c>
      <c r="D591" s="8" t="s">
        <v>58</v>
      </c>
      <c r="E591" s="8" t="s">
        <v>2376</v>
      </c>
      <c r="F591" s="8" t="s">
        <v>782</v>
      </c>
      <c r="G591" s="8" t="s">
        <v>783</v>
      </c>
      <c r="H591" s="8" t="s">
        <v>784</v>
      </c>
    </row>
    <row r="592" customFormat="false" ht="15" hidden="false" customHeight="false" outlineLevel="0" collapsed="false">
      <c r="A592" s="8" t="s">
        <v>2377</v>
      </c>
      <c r="B592" s="8" t="s">
        <v>2378</v>
      </c>
      <c r="C592" s="8" t="n">
        <v>2021</v>
      </c>
      <c r="D592" s="8" t="s">
        <v>83</v>
      </c>
      <c r="E592" s="8"/>
      <c r="F592" s="8" t="s">
        <v>782</v>
      </c>
      <c r="G592" s="8" t="s">
        <v>783</v>
      </c>
      <c r="H592" s="8" t="s">
        <v>784</v>
      </c>
    </row>
    <row r="593" customFormat="false" ht="15" hidden="false" customHeight="false" outlineLevel="0" collapsed="false">
      <c r="A593" s="8" t="s">
        <v>2379</v>
      </c>
      <c r="B593" s="8" t="s">
        <v>2380</v>
      </c>
      <c r="C593" s="8" t="n">
        <v>2019</v>
      </c>
      <c r="D593" s="8" t="s">
        <v>58</v>
      </c>
      <c r="E593" s="8" t="s">
        <v>2381</v>
      </c>
      <c r="F593" s="8" t="s">
        <v>782</v>
      </c>
      <c r="G593" s="8" t="s">
        <v>783</v>
      </c>
      <c r="H593" s="8" t="s">
        <v>784</v>
      </c>
    </row>
    <row r="594" customFormat="false" ht="15" hidden="false" customHeight="false" outlineLevel="0" collapsed="false">
      <c r="A594" s="8" t="s">
        <v>2382</v>
      </c>
      <c r="B594" s="8" t="s">
        <v>2383</v>
      </c>
      <c r="C594" s="8" t="n">
        <v>2023</v>
      </c>
      <c r="D594" s="8" t="s">
        <v>58</v>
      </c>
      <c r="E594" s="8" t="s">
        <v>2384</v>
      </c>
      <c r="F594" s="8" t="s">
        <v>782</v>
      </c>
      <c r="G594" s="8" t="s">
        <v>783</v>
      </c>
      <c r="H594" s="8" t="s">
        <v>784</v>
      </c>
    </row>
    <row r="595" customFormat="false" ht="15" hidden="false" customHeight="false" outlineLevel="0" collapsed="false">
      <c r="A595" s="8" t="s">
        <v>2385</v>
      </c>
      <c r="B595" s="8" t="s">
        <v>2386</v>
      </c>
      <c r="C595" s="8" t="n">
        <v>2022</v>
      </c>
      <c r="D595" s="8" t="s">
        <v>58</v>
      </c>
      <c r="E595" s="8" t="s">
        <v>2387</v>
      </c>
      <c r="F595" s="8" t="s">
        <v>782</v>
      </c>
      <c r="G595" s="8" t="s">
        <v>783</v>
      </c>
      <c r="H595" s="8" t="s">
        <v>784</v>
      </c>
    </row>
    <row r="596" customFormat="false" ht="15" hidden="false" customHeight="false" outlineLevel="0" collapsed="false">
      <c r="A596" s="8" t="s">
        <v>2388</v>
      </c>
      <c r="B596" s="8" t="s">
        <v>2389</v>
      </c>
      <c r="C596" s="8" t="n">
        <v>2020</v>
      </c>
      <c r="D596" s="8" t="s">
        <v>58</v>
      </c>
      <c r="E596" s="8" t="s">
        <v>2390</v>
      </c>
      <c r="F596" s="8" t="s">
        <v>782</v>
      </c>
      <c r="G596" s="8" t="s">
        <v>783</v>
      </c>
      <c r="H596" s="8" t="s">
        <v>784</v>
      </c>
    </row>
    <row r="597" customFormat="false" ht="15" hidden="false" customHeight="false" outlineLevel="0" collapsed="false">
      <c r="A597" s="8" t="s">
        <v>2391</v>
      </c>
      <c r="B597" s="8" t="s">
        <v>2392</v>
      </c>
      <c r="C597" s="8" t="n">
        <v>2021</v>
      </c>
      <c r="D597" s="8" t="s">
        <v>58</v>
      </c>
      <c r="E597" s="8" t="s">
        <v>2393</v>
      </c>
      <c r="F597" s="8" t="s">
        <v>782</v>
      </c>
      <c r="G597" s="8" t="s">
        <v>783</v>
      </c>
      <c r="H597" s="8" t="s">
        <v>784</v>
      </c>
    </row>
    <row r="598" customFormat="false" ht="15" hidden="false" customHeight="false" outlineLevel="0" collapsed="false">
      <c r="A598" s="8" t="s">
        <v>2394</v>
      </c>
      <c r="B598" s="8" t="s">
        <v>2395</v>
      </c>
      <c r="C598" s="8" t="n">
        <v>2020</v>
      </c>
      <c r="D598" s="8" t="s">
        <v>58</v>
      </c>
      <c r="E598" s="8" t="s">
        <v>2396</v>
      </c>
      <c r="F598" s="8" t="s">
        <v>782</v>
      </c>
      <c r="G598" s="8" t="s">
        <v>783</v>
      </c>
      <c r="H598" s="8" t="s">
        <v>784</v>
      </c>
    </row>
    <row r="599" customFormat="false" ht="15" hidden="false" customHeight="false" outlineLevel="0" collapsed="false">
      <c r="A599" s="8" t="s">
        <v>2397</v>
      </c>
      <c r="B599" s="8" t="s">
        <v>2398</v>
      </c>
      <c r="C599" s="8" t="n">
        <v>2020</v>
      </c>
      <c r="D599" s="8" t="s">
        <v>58</v>
      </c>
      <c r="E599" s="8" t="s">
        <v>2399</v>
      </c>
      <c r="F599" s="8" t="s">
        <v>782</v>
      </c>
      <c r="G599" s="8" t="s">
        <v>783</v>
      </c>
      <c r="H599" s="8" t="s">
        <v>784</v>
      </c>
    </row>
    <row r="600" customFormat="false" ht="15" hidden="false" customHeight="false" outlineLevel="0" collapsed="false">
      <c r="A600" s="8" t="s">
        <v>2400</v>
      </c>
      <c r="B600" s="8" t="s">
        <v>2401</v>
      </c>
      <c r="C600" s="8" t="n">
        <v>2020</v>
      </c>
      <c r="D600" s="8" t="s">
        <v>58</v>
      </c>
      <c r="E600" s="8" t="s">
        <v>2402</v>
      </c>
      <c r="F600" s="8" t="s">
        <v>782</v>
      </c>
      <c r="G600" s="8" t="s">
        <v>783</v>
      </c>
      <c r="H600" s="8" t="s">
        <v>784</v>
      </c>
    </row>
    <row r="601" customFormat="false" ht="15" hidden="false" customHeight="false" outlineLevel="0" collapsed="false">
      <c r="A601" s="8" t="s">
        <v>2403</v>
      </c>
      <c r="B601" s="8" t="s">
        <v>2404</v>
      </c>
      <c r="C601" s="8" t="n">
        <v>2022</v>
      </c>
      <c r="D601" s="8" t="s">
        <v>58</v>
      </c>
      <c r="E601" s="8" t="s">
        <v>2405</v>
      </c>
      <c r="F601" s="8" t="s">
        <v>782</v>
      </c>
      <c r="G601" s="8" t="s">
        <v>783</v>
      </c>
      <c r="H601" s="8" t="s">
        <v>784</v>
      </c>
    </row>
    <row r="602" customFormat="false" ht="15" hidden="false" customHeight="false" outlineLevel="0" collapsed="false">
      <c r="A602" s="8" t="s">
        <v>2406</v>
      </c>
      <c r="B602" s="8" t="s">
        <v>2407</v>
      </c>
      <c r="C602" s="8" t="n">
        <v>2022</v>
      </c>
      <c r="D602" s="8" t="s">
        <v>90</v>
      </c>
      <c r="E602" s="8" t="s">
        <v>2408</v>
      </c>
      <c r="F602" s="8" t="s">
        <v>782</v>
      </c>
      <c r="G602" s="8" t="s">
        <v>783</v>
      </c>
      <c r="H602" s="8" t="s">
        <v>784</v>
      </c>
    </row>
    <row r="603" customFormat="false" ht="15" hidden="false" customHeight="false" outlineLevel="0" collapsed="false">
      <c r="A603" s="8" t="s">
        <v>2409</v>
      </c>
      <c r="B603" s="8" t="s">
        <v>2410</v>
      </c>
      <c r="C603" s="8" t="n">
        <v>2021</v>
      </c>
      <c r="D603" s="8" t="s">
        <v>58</v>
      </c>
      <c r="E603" s="8" t="s">
        <v>2411</v>
      </c>
      <c r="F603" s="8" t="s">
        <v>782</v>
      </c>
      <c r="G603" s="8" t="s">
        <v>783</v>
      </c>
      <c r="H603" s="8" t="s">
        <v>784</v>
      </c>
    </row>
    <row r="604" customFormat="false" ht="15" hidden="false" customHeight="false" outlineLevel="0" collapsed="false">
      <c r="A604" s="8" t="s">
        <v>2412</v>
      </c>
      <c r="B604" s="8" t="s">
        <v>2413</v>
      </c>
      <c r="C604" s="8" t="n">
        <v>2023</v>
      </c>
      <c r="D604" s="8" t="s">
        <v>83</v>
      </c>
      <c r="E604" s="8" t="s">
        <v>2414</v>
      </c>
      <c r="F604" s="8" t="s">
        <v>782</v>
      </c>
      <c r="G604" s="8" t="s">
        <v>783</v>
      </c>
      <c r="H604" s="8" t="s">
        <v>784</v>
      </c>
    </row>
    <row r="605" customFormat="false" ht="15" hidden="false" customHeight="false" outlineLevel="0" collapsed="false">
      <c r="A605" s="8" t="s">
        <v>2415</v>
      </c>
      <c r="B605" s="8" t="s">
        <v>2416</v>
      </c>
      <c r="C605" s="8" t="n">
        <v>2022</v>
      </c>
      <c r="D605" s="8" t="s">
        <v>58</v>
      </c>
      <c r="E605" s="8" t="s">
        <v>2417</v>
      </c>
      <c r="F605" s="8" t="s">
        <v>782</v>
      </c>
      <c r="G605" s="8" t="s">
        <v>783</v>
      </c>
      <c r="H605" s="8" t="s">
        <v>784</v>
      </c>
    </row>
    <row r="606" customFormat="false" ht="15" hidden="false" customHeight="false" outlineLevel="0" collapsed="false">
      <c r="A606" s="8" t="s">
        <v>2418</v>
      </c>
      <c r="B606" s="8" t="s">
        <v>2419</v>
      </c>
      <c r="C606" s="8" t="n">
        <v>2021</v>
      </c>
      <c r="D606" s="8" t="s">
        <v>58</v>
      </c>
      <c r="E606" s="8" t="s">
        <v>2420</v>
      </c>
      <c r="F606" s="8" t="s">
        <v>782</v>
      </c>
      <c r="G606" s="8" t="s">
        <v>783</v>
      </c>
      <c r="H606" s="8" t="s">
        <v>784</v>
      </c>
    </row>
    <row r="607" customFormat="false" ht="15" hidden="false" customHeight="false" outlineLevel="0" collapsed="false">
      <c r="A607" s="8" t="s">
        <v>2421</v>
      </c>
      <c r="B607" s="8" t="s">
        <v>2422</v>
      </c>
      <c r="C607" s="8" t="n">
        <v>2020</v>
      </c>
      <c r="D607" s="8" t="s">
        <v>58</v>
      </c>
      <c r="E607" s="8" t="s">
        <v>2423</v>
      </c>
      <c r="F607" s="8" t="s">
        <v>782</v>
      </c>
      <c r="G607" s="8" t="s">
        <v>783</v>
      </c>
      <c r="H607" s="8" t="s">
        <v>784</v>
      </c>
    </row>
    <row r="608" customFormat="false" ht="15" hidden="false" customHeight="false" outlineLevel="0" collapsed="false">
      <c r="A608" s="8" t="s">
        <v>2424</v>
      </c>
      <c r="B608" s="8" t="s">
        <v>2425</v>
      </c>
      <c r="C608" s="8" t="n">
        <v>2019</v>
      </c>
      <c r="D608" s="8" t="s">
        <v>83</v>
      </c>
      <c r="E608" s="8" t="s">
        <v>2426</v>
      </c>
      <c r="F608" s="8" t="s">
        <v>782</v>
      </c>
      <c r="G608" s="8" t="s">
        <v>783</v>
      </c>
      <c r="H608" s="8" t="s">
        <v>784</v>
      </c>
    </row>
    <row r="609" customFormat="false" ht="15" hidden="false" customHeight="false" outlineLevel="0" collapsed="false">
      <c r="A609" s="8" t="s">
        <v>2427</v>
      </c>
      <c r="B609" s="8" t="s">
        <v>2428</v>
      </c>
      <c r="C609" s="8" t="n">
        <v>2019</v>
      </c>
      <c r="D609" s="8" t="s">
        <v>58</v>
      </c>
      <c r="E609" s="8" t="s">
        <v>2429</v>
      </c>
      <c r="F609" s="8" t="s">
        <v>782</v>
      </c>
      <c r="G609" s="8" t="s">
        <v>783</v>
      </c>
      <c r="H609" s="8" t="s">
        <v>784</v>
      </c>
    </row>
    <row r="610" customFormat="false" ht="15" hidden="false" customHeight="false" outlineLevel="0" collapsed="false">
      <c r="A610" s="8" t="s">
        <v>2430</v>
      </c>
      <c r="B610" s="8" t="s">
        <v>2431</v>
      </c>
      <c r="C610" s="8" t="n">
        <v>2023</v>
      </c>
      <c r="D610" s="8" t="s">
        <v>58</v>
      </c>
      <c r="E610" s="8" t="s">
        <v>2432</v>
      </c>
      <c r="F610" s="8" t="s">
        <v>782</v>
      </c>
      <c r="G610" s="8" t="s">
        <v>783</v>
      </c>
      <c r="H610" s="8" t="s">
        <v>784</v>
      </c>
    </row>
    <row r="611" customFormat="false" ht="15" hidden="false" customHeight="false" outlineLevel="0" collapsed="false">
      <c r="A611" s="8" t="s">
        <v>2433</v>
      </c>
      <c r="B611" s="8" t="s">
        <v>2434</v>
      </c>
      <c r="C611" s="8" t="n">
        <v>2022</v>
      </c>
      <c r="D611" s="8" t="s">
        <v>83</v>
      </c>
      <c r="E611" s="8" t="s">
        <v>2435</v>
      </c>
      <c r="F611" s="8" t="s">
        <v>782</v>
      </c>
      <c r="G611" s="8" t="s">
        <v>783</v>
      </c>
      <c r="H611" s="8" t="s">
        <v>784</v>
      </c>
    </row>
    <row r="612" customFormat="false" ht="15" hidden="false" customHeight="false" outlineLevel="0" collapsed="false">
      <c r="A612" s="8" t="s">
        <v>2436</v>
      </c>
      <c r="B612" s="8" t="s">
        <v>2437</v>
      </c>
      <c r="C612" s="8" t="n">
        <v>2020</v>
      </c>
      <c r="D612" s="8" t="s">
        <v>58</v>
      </c>
      <c r="E612" s="8" t="s">
        <v>2438</v>
      </c>
      <c r="F612" s="8" t="s">
        <v>782</v>
      </c>
      <c r="G612" s="8" t="s">
        <v>783</v>
      </c>
      <c r="H612" s="8" t="s">
        <v>784</v>
      </c>
    </row>
    <row r="613" customFormat="false" ht="15" hidden="false" customHeight="false" outlineLevel="0" collapsed="false">
      <c r="A613" s="8" t="s">
        <v>2439</v>
      </c>
      <c r="B613" s="8" t="s">
        <v>2440</v>
      </c>
      <c r="C613" s="8" t="n">
        <v>2020</v>
      </c>
      <c r="D613" s="8" t="s">
        <v>58</v>
      </c>
      <c r="E613" s="8" t="s">
        <v>2441</v>
      </c>
      <c r="F613" s="8" t="s">
        <v>782</v>
      </c>
      <c r="G613" s="8" t="s">
        <v>895</v>
      </c>
      <c r="H613" s="8" t="s">
        <v>896</v>
      </c>
    </row>
    <row r="614" customFormat="false" ht="15" hidden="false" customHeight="false" outlineLevel="0" collapsed="false">
      <c r="A614" s="8" t="s">
        <v>2442</v>
      </c>
      <c r="B614" s="8" t="s">
        <v>2443</v>
      </c>
      <c r="C614" s="8" t="n">
        <v>2019</v>
      </c>
      <c r="D614" s="8" t="s">
        <v>58</v>
      </c>
      <c r="E614" s="8" t="s">
        <v>2444</v>
      </c>
      <c r="F614" s="8" t="s">
        <v>782</v>
      </c>
      <c r="G614" s="8" t="s">
        <v>783</v>
      </c>
      <c r="H614" s="8" t="s">
        <v>861</v>
      </c>
    </row>
    <row r="615" customFormat="false" ht="15" hidden="false" customHeight="false" outlineLevel="0" collapsed="false">
      <c r="A615" s="8" t="s">
        <v>2445</v>
      </c>
      <c r="B615" s="8" t="s">
        <v>2446</v>
      </c>
      <c r="C615" s="8" t="n">
        <v>2023</v>
      </c>
      <c r="D615" s="8" t="s">
        <v>90</v>
      </c>
      <c r="E615" s="8" t="s">
        <v>2447</v>
      </c>
      <c r="F615" s="8" t="s">
        <v>782</v>
      </c>
      <c r="G615" s="8" t="s">
        <v>783</v>
      </c>
      <c r="H615" s="8" t="s">
        <v>784</v>
      </c>
    </row>
    <row r="616" customFormat="false" ht="15" hidden="false" customHeight="false" outlineLevel="0" collapsed="false">
      <c r="A616" s="8" t="s">
        <v>2448</v>
      </c>
      <c r="B616" s="8" t="s">
        <v>2449</v>
      </c>
      <c r="C616" s="8" t="n">
        <v>2022</v>
      </c>
      <c r="D616" s="8" t="s">
        <v>58</v>
      </c>
      <c r="E616" s="8" t="s">
        <v>2450</v>
      </c>
      <c r="F616" s="8" t="s">
        <v>782</v>
      </c>
      <c r="G616" s="8" t="s">
        <v>783</v>
      </c>
      <c r="H616" s="8" t="s">
        <v>784</v>
      </c>
    </row>
    <row r="617" customFormat="false" ht="15" hidden="false" customHeight="false" outlineLevel="0" collapsed="false">
      <c r="A617" s="8" t="s">
        <v>2451</v>
      </c>
      <c r="B617" s="8" t="s">
        <v>2452</v>
      </c>
      <c r="C617" s="8" t="n">
        <v>2020</v>
      </c>
      <c r="D617" s="8" t="s">
        <v>83</v>
      </c>
      <c r="E617" s="8" t="s">
        <v>2453</v>
      </c>
      <c r="F617" s="8" t="s">
        <v>782</v>
      </c>
      <c r="G617" s="8" t="s">
        <v>783</v>
      </c>
      <c r="H617" s="8" t="s">
        <v>784</v>
      </c>
    </row>
    <row r="618" customFormat="false" ht="15" hidden="false" customHeight="false" outlineLevel="0" collapsed="false">
      <c r="A618" s="8" t="s">
        <v>2454</v>
      </c>
      <c r="B618" s="8" t="s">
        <v>2455</v>
      </c>
      <c r="C618" s="8" t="n">
        <v>2020</v>
      </c>
      <c r="D618" s="8" t="s">
        <v>58</v>
      </c>
      <c r="E618" s="8" t="s">
        <v>2456</v>
      </c>
      <c r="F618" s="8" t="s">
        <v>782</v>
      </c>
      <c r="G618" s="8" t="s">
        <v>801</v>
      </c>
      <c r="H618" s="8" t="s">
        <v>915</v>
      </c>
    </row>
    <row r="619" customFormat="false" ht="15" hidden="false" customHeight="false" outlineLevel="0" collapsed="false">
      <c r="A619" s="8" t="s">
        <v>2457</v>
      </c>
      <c r="B619" s="8" t="s">
        <v>2458</v>
      </c>
      <c r="C619" s="8" t="n">
        <v>2021</v>
      </c>
      <c r="D619" s="8" t="s">
        <v>58</v>
      </c>
      <c r="E619" s="8" t="s">
        <v>2459</v>
      </c>
      <c r="F619" s="8" t="s">
        <v>782</v>
      </c>
      <c r="G619" s="8" t="s">
        <v>783</v>
      </c>
      <c r="H619" s="8" t="s">
        <v>784</v>
      </c>
    </row>
    <row r="620" customFormat="false" ht="15" hidden="false" customHeight="false" outlineLevel="0" collapsed="false">
      <c r="A620" s="8" t="s">
        <v>2460</v>
      </c>
      <c r="B620" s="8" t="s">
        <v>2461</v>
      </c>
      <c r="C620" s="8" t="n">
        <v>2021</v>
      </c>
      <c r="D620" s="8" t="s">
        <v>58</v>
      </c>
      <c r="E620" s="8" t="s">
        <v>2462</v>
      </c>
      <c r="F620" s="8" t="s">
        <v>782</v>
      </c>
      <c r="G620" s="8" t="s">
        <v>783</v>
      </c>
      <c r="H620" s="8" t="s">
        <v>784</v>
      </c>
    </row>
    <row r="621" customFormat="false" ht="15" hidden="false" customHeight="false" outlineLevel="0" collapsed="false">
      <c r="A621" s="8" t="s">
        <v>2463</v>
      </c>
      <c r="B621" s="8" t="s">
        <v>2464</v>
      </c>
      <c r="C621" s="8" t="n">
        <v>2023</v>
      </c>
      <c r="D621" s="8" t="s">
        <v>58</v>
      </c>
      <c r="E621" s="8" t="s">
        <v>2465</v>
      </c>
      <c r="F621" s="8" t="s">
        <v>782</v>
      </c>
      <c r="G621" s="8" t="s">
        <v>783</v>
      </c>
      <c r="H621" s="8" t="s">
        <v>784</v>
      </c>
    </row>
    <row r="622" customFormat="false" ht="15" hidden="false" customHeight="false" outlineLevel="0" collapsed="false">
      <c r="A622" s="8" t="s">
        <v>2466</v>
      </c>
      <c r="B622" s="8" t="s">
        <v>2467</v>
      </c>
      <c r="C622" s="8" t="n">
        <v>2020</v>
      </c>
      <c r="D622" s="8" t="s">
        <v>58</v>
      </c>
      <c r="E622" s="8" t="s">
        <v>2468</v>
      </c>
      <c r="F622" s="8" t="s">
        <v>782</v>
      </c>
      <c r="G622" s="8" t="s">
        <v>783</v>
      </c>
      <c r="H622" s="8" t="s">
        <v>784</v>
      </c>
    </row>
    <row r="623" customFormat="false" ht="15" hidden="false" customHeight="false" outlineLevel="0" collapsed="false">
      <c r="A623" s="8" t="s">
        <v>2469</v>
      </c>
      <c r="B623" s="8" t="s">
        <v>2470</v>
      </c>
      <c r="C623" s="8" t="n">
        <v>2022</v>
      </c>
      <c r="D623" s="8" t="s">
        <v>83</v>
      </c>
      <c r="E623" s="8" t="s">
        <v>2471</v>
      </c>
      <c r="F623" s="8" t="s">
        <v>782</v>
      </c>
      <c r="G623" s="8" t="s">
        <v>821</v>
      </c>
      <c r="H623" s="8" t="s">
        <v>822</v>
      </c>
    </row>
    <row r="624" customFormat="false" ht="15" hidden="false" customHeight="false" outlineLevel="0" collapsed="false">
      <c r="A624" s="8" t="s">
        <v>2472</v>
      </c>
      <c r="B624" s="8" t="s">
        <v>2473</v>
      </c>
      <c r="C624" s="8" t="n">
        <v>2019</v>
      </c>
      <c r="D624" s="8" t="s">
        <v>58</v>
      </c>
      <c r="E624" s="8" t="s">
        <v>2474</v>
      </c>
      <c r="F624" s="8" t="s">
        <v>782</v>
      </c>
      <c r="G624" s="8" t="s">
        <v>895</v>
      </c>
      <c r="H624" s="8" t="s">
        <v>896</v>
      </c>
    </row>
    <row r="625" customFormat="false" ht="15" hidden="false" customHeight="false" outlineLevel="0" collapsed="false">
      <c r="A625" s="8" t="s">
        <v>2475</v>
      </c>
      <c r="B625" s="8" t="s">
        <v>2476</v>
      </c>
      <c r="C625" s="8" t="n">
        <v>2021</v>
      </c>
      <c r="D625" s="8" t="s">
        <v>83</v>
      </c>
      <c r="E625" s="8" t="s">
        <v>2477</v>
      </c>
      <c r="F625" s="8" t="s">
        <v>782</v>
      </c>
      <c r="G625" s="8" t="s">
        <v>783</v>
      </c>
      <c r="H625" s="8" t="s">
        <v>784</v>
      </c>
    </row>
    <row r="626" customFormat="false" ht="15" hidden="false" customHeight="false" outlineLevel="0" collapsed="false">
      <c r="A626" s="8" t="s">
        <v>2478</v>
      </c>
      <c r="B626" s="8" t="s">
        <v>2479</v>
      </c>
      <c r="C626" s="8" t="n">
        <v>2023</v>
      </c>
      <c r="D626" s="8" t="s">
        <v>58</v>
      </c>
      <c r="E626" s="8" t="s">
        <v>2480</v>
      </c>
      <c r="F626" s="8" t="s">
        <v>782</v>
      </c>
      <c r="G626" s="8" t="s">
        <v>783</v>
      </c>
      <c r="H626" s="8" t="s">
        <v>784</v>
      </c>
    </row>
    <row r="627" customFormat="false" ht="15" hidden="false" customHeight="false" outlineLevel="0" collapsed="false">
      <c r="A627" s="8" t="s">
        <v>2481</v>
      </c>
      <c r="B627" s="8" t="s">
        <v>2482</v>
      </c>
      <c r="C627" s="8" t="n">
        <v>2023</v>
      </c>
      <c r="D627" s="8" t="s">
        <v>58</v>
      </c>
      <c r="E627" s="8" t="s">
        <v>2483</v>
      </c>
      <c r="F627" s="8" t="s">
        <v>782</v>
      </c>
      <c r="G627" s="8" t="s">
        <v>783</v>
      </c>
      <c r="H627" s="8" t="s">
        <v>784</v>
      </c>
    </row>
    <row r="628" customFormat="false" ht="15" hidden="false" customHeight="false" outlineLevel="0" collapsed="false">
      <c r="A628" s="8" t="s">
        <v>2484</v>
      </c>
      <c r="B628" s="8" t="s">
        <v>2485</v>
      </c>
      <c r="C628" s="8" t="n">
        <v>2019</v>
      </c>
      <c r="D628" s="8" t="s">
        <v>58</v>
      </c>
      <c r="E628" s="8" t="s">
        <v>2486</v>
      </c>
      <c r="F628" s="8" t="s">
        <v>782</v>
      </c>
      <c r="G628" s="8" t="s">
        <v>783</v>
      </c>
      <c r="H628" s="8" t="s">
        <v>784</v>
      </c>
    </row>
    <row r="629" customFormat="false" ht="15" hidden="false" customHeight="false" outlineLevel="0" collapsed="false">
      <c r="A629" s="8" t="s">
        <v>2487</v>
      </c>
      <c r="B629" s="8" t="s">
        <v>2488</v>
      </c>
      <c r="C629" s="8" t="n">
        <v>2020</v>
      </c>
      <c r="D629" s="8" t="s">
        <v>58</v>
      </c>
      <c r="E629" s="8"/>
      <c r="F629" s="8" t="s">
        <v>782</v>
      </c>
      <c r="G629" s="8" t="s">
        <v>801</v>
      </c>
      <c r="H629" s="8" t="s">
        <v>802</v>
      </c>
    </row>
    <row r="630" customFormat="false" ht="15" hidden="false" customHeight="false" outlineLevel="0" collapsed="false">
      <c r="A630" s="8" t="s">
        <v>2489</v>
      </c>
      <c r="B630" s="8" t="s">
        <v>2490</v>
      </c>
      <c r="C630" s="8" t="n">
        <v>2021</v>
      </c>
      <c r="D630" s="8" t="s">
        <v>83</v>
      </c>
      <c r="E630" s="8" t="s">
        <v>2491</v>
      </c>
      <c r="F630" s="8" t="s">
        <v>782</v>
      </c>
      <c r="G630" s="8" t="s">
        <v>783</v>
      </c>
      <c r="H630" s="8" t="s">
        <v>861</v>
      </c>
    </row>
    <row r="631" customFormat="false" ht="15" hidden="false" customHeight="false" outlineLevel="0" collapsed="false">
      <c r="A631" s="8" t="s">
        <v>2492</v>
      </c>
      <c r="B631" s="8" t="s">
        <v>2493</v>
      </c>
      <c r="C631" s="8" t="n">
        <v>2022</v>
      </c>
      <c r="D631" s="8" t="s">
        <v>58</v>
      </c>
      <c r="E631" s="8" t="s">
        <v>2494</v>
      </c>
      <c r="F631" s="8" t="s">
        <v>782</v>
      </c>
      <c r="G631" s="8" t="s">
        <v>783</v>
      </c>
      <c r="H631" s="8" t="s">
        <v>784</v>
      </c>
    </row>
    <row r="632" customFormat="false" ht="15" hidden="false" customHeight="false" outlineLevel="0" collapsed="false">
      <c r="A632" s="8" t="s">
        <v>2495</v>
      </c>
      <c r="B632" s="8" t="s">
        <v>2496</v>
      </c>
      <c r="C632" s="8" t="n">
        <v>2021</v>
      </c>
      <c r="D632" s="8" t="s">
        <v>83</v>
      </c>
      <c r="E632" s="8" t="s">
        <v>2497</v>
      </c>
      <c r="F632" s="8" t="s">
        <v>782</v>
      </c>
      <c r="G632" s="8" t="s">
        <v>783</v>
      </c>
      <c r="H632" s="8" t="s">
        <v>784</v>
      </c>
    </row>
    <row r="633" customFormat="false" ht="15" hidden="false" customHeight="false" outlineLevel="0" collapsed="false">
      <c r="A633" s="8" t="s">
        <v>2498</v>
      </c>
      <c r="B633" s="8" t="s">
        <v>2499</v>
      </c>
      <c r="C633" s="8" t="n">
        <v>2022</v>
      </c>
      <c r="D633" s="8" t="s">
        <v>58</v>
      </c>
      <c r="E633" s="8" t="s">
        <v>2500</v>
      </c>
      <c r="F633" s="8" t="s">
        <v>782</v>
      </c>
      <c r="G633" s="8" t="s">
        <v>783</v>
      </c>
      <c r="H633" s="8" t="s">
        <v>784</v>
      </c>
    </row>
    <row r="634" customFormat="false" ht="15" hidden="false" customHeight="false" outlineLevel="0" collapsed="false">
      <c r="A634" s="8" t="s">
        <v>2501</v>
      </c>
      <c r="B634" s="8" t="s">
        <v>2502</v>
      </c>
      <c r="C634" s="8" t="n">
        <v>2022</v>
      </c>
      <c r="D634" s="8" t="s">
        <v>58</v>
      </c>
      <c r="E634" s="8" t="s">
        <v>2503</v>
      </c>
      <c r="F634" s="8" t="s">
        <v>782</v>
      </c>
      <c r="G634" s="8" t="s">
        <v>783</v>
      </c>
      <c r="H634" s="8" t="s">
        <v>784</v>
      </c>
    </row>
    <row r="635" customFormat="false" ht="15" hidden="false" customHeight="false" outlineLevel="0" collapsed="false">
      <c r="A635" s="8" t="s">
        <v>2504</v>
      </c>
      <c r="B635" s="8" t="s">
        <v>2505</v>
      </c>
      <c r="C635" s="8" t="n">
        <v>2021</v>
      </c>
      <c r="D635" s="8" t="s">
        <v>58</v>
      </c>
      <c r="E635" s="8" t="s">
        <v>2506</v>
      </c>
      <c r="F635" s="8" t="s">
        <v>782</v>
      </c>
      <c r="G635" s="8" t="s">
        <v>783</v>
      </c>
      <c r="H635" s="8" t="s">
        <v>784</v>
      </c>
    </row>
    <row r="636" customFormat="false" ht="15" hidden="false" customHeight="false" outlineLevel="0" collapsed="false">
      <c r="A636" s="8" t="s">
        <v>2507</v>
      </c>
      <c r="B636" s="8" t="s">
        <v>2508</v>
      </c>
      <c r="C636" s="8" t="n">
        <v>2020</v>
      </c>
      <c r="D636" s="8" t="s">
        <v>83</v>
      </c>
      <c r="E636" s="8" t="s">
        <v>2509</v>
      </c>
      <c r="F636" s="8" t="s">
        <v>782</v>
      </c>
      <c r="G636" s="8" t="s">
        <v>783</v>
      </c>
      <c r="H636" s="8" t="s">
        <v>784</v>
      </c>
    </row>
    <row r="637" customFormat="false" ht="15" hidden="false" customHeight="false" outlineLevel="0" collapsed="false">
      <c r="A637" s="8" t="s">
        <v>505</v>
      </c>
      <c r="B637" s="8" t="s">
        <v>507</v>
      </c>
      <c r="C637" s="8" t="n">
        <v>2021</v>
      </c>
      <c r="D637" s="8" t="s">
        <v>58</v>
      </c>
      <c r="E637" s="8" t="s">
        <v>509</v>
      </c>
      <c r="F637" s="8" t="s">
        <v>852</v>
      </c>
      <c r="G637" s="8" t="s">
        <v>853</v>
      </c>
      <c r="H637" s="8" t="s">
        <v>854</v>
      </c>
    </row>
    <row r="638" customFormat="false" ht="15" hidden="false" customHeight="false" outlineLevel="0" collapsed="false">
      <c r="A638" s="8" t="s">
        <v>2510</v>
      </c>
      <c r="B638" s="8" t="s">
        <v>2511</v>
      </c>
      <c r="C638" s="8" t="n">
        <v>2019</v>
      </c>
      <c r="D638" s="8" t="s">
        <v>58</v>
      </c>
      <c r="E638" s="8" t="s">
        <v>2512</v>
      </c>
      <c r="F638" s="8" t="s">
        <v>782</v>
      </c>
      <c r="G638" s="8" t="s">
        <v>783</v>
      </c>
      <c r="H638" s="8" t="s">
        <v>784</v>
      </c>
    </row>
    <row r="639" customFormat="false" ht="15" hidden="false" customHeight="false" outlineLevel="0" collapsed="false">
      <c r="A639" s="8" t="s">
        <v>2513</v>
      </c>
      <c r="B639" s="8" t="s">
        <v>2514</v>
      </c>
      <c r="C639" s="8" t="n">
        <v>2022</v>
      </c>
      <c r="D639" s="8" t="s">
        <v>83</v>
      </c>
      <c r="E639" s="8" t="s">
        <v>2515</v>
      </c>
      <c r="F639" s="8" t="s">
        <v>782</v>
      </c>
      <c r="G639" s="8" t="s">
        <v>801</v>
      </c>
      <c r="H639" s="8" t="s">
        <v>802</v>
      </c>
    </row>
    <row r="640" customFormat="false" ht="15" hidden="false" customHeight="false" outlineLevel="0" collapsed="false">
      <c r="A640" s="8" t="s">
        <v>2516</v>
      </c>
      <c r="B640" s="8" t="s">
        <v>2517</v>
      </c>
      <c r="C640" s="8" t="n">
        <v>2021</v>
      </c>
      <c r="D640" s="8" t="s">
        <v>58</v>
      </c>
      <c r="E640" s="8" t="s">
        <v>2518</v>
      </c>
      <c r="F640" s="8" t="s">
        <v>782</v>
      </c>
      <c r="G640" s="8" t="s">
        <v>783</v>
      </c>
      <c r="H640" s="8" t="s">
        <v>784</v>
      </c>
    </row>
    <row r="641" customFormat="false" ht="15" hidden="false" customHeight="false" outlineLevel="0" collapsed="false">
      <c r="A641" s="8" t="s">
        <v>2519</v>
      </c>
      <c r="B641" s="8" t="s">
        <v>2520</v>
      </c>
      <c r="C641" s="8" t="n">
        <v>2020</v>
      </c>
      <c r="D641" s="8" t="s">
        <v>74</v>
      </c>
      <c r="E641" s="8" t="s">
        <v>2521</v>
      </c>
      <c r="F641" s="8" t="s">
        <v>782</v>
      </c>
      <c r="G641" s="8" t="s">
        <v>895</v>
      </c>
      <c r="H641" s="8" t="s">
        <v>896</v>
      </c>
    </row>
    <row r="642" customFormat="false" ht="15" hidden="false" customHeight="false" outlineLevel="0" collapsed="false">
      <c r="A642" s="8" t="s">
        <v>2522</v>
      </c>
      <c r="B642" s="8" t="s">
        <v>2523</v>
      </c>
      <c r="C642" s="8" t="n">
        <v>2023</v>
      </c>
      <c r="D642" s="8" t="s">
        <v>58</v>
      </c>
      <c r="E642" s="8" t="s">
        <v>2524</v>
      </c>
      <c r="F642" s="8" t="s">
        <v>782</v>
      </c>
      <c r="G642" s="8" t="s">
        <v>783</v>
      </c>
      <c r="H642" s="8" t="s">
        <v>784</v>
      </c>
    </row>
    <row r="643" customFormat="false" ht="15" hidden="false" customHeight="false" outlineLevel="0" collapsed="false">
      <c r="A643" s="8" t="s">
        <v>2525</v>
      </c>
      <c r="B643" s="8" t="s">
        <v>2526</v>
      </c>
      <c r="C643" s="8" t="n">
        <v>2022</v>
      </c>
      <c r="D643" s="8" t="s">
        <v>58</v>
      </c>
      <c r="E643" s="8" t="s">
        <v>2527</v>
      </c>
      <c r="F643" s="8" t="s">
        <v>782</v>
      </c>
      <c r="G643" s="8" t="s">
        <v>783</v>
      </c>
      <c r="H643" s="8" t="s">
        <v>784</v>
      </c>
    </row>
    <row r="644" customFormat="false" ht="15" hidden="false" customHeight="false" outlineLevel="0" collapsed="false">
      <c r="A644" s="8" t="s">
        <v>2528</v>
      </c>
      <c r="B644" s="8" t="s">
        <v>2529</v>
      </c>
      <c r="C644" s="8" t="n">
        <v>2023</v>
      </c>
      <c r="D644" s="8" t="s">
        <v>58</v>
      </c>
      <c r="E644" s="8" t="s">
        <v>2530</v>
      </c>
      <c r="F644" s="8" t="s">
        <v>782</v>
      </c>
      <c r="G644" s="8" t="s">
        <v>783</v>
      </c>
      <c r="H644" s="8" t="s">
        <v>784</v>
      </c>
    </row>
    <row r="645" customFormat="false" ht="15" hidden="false" customHeight="false" outlineLevel="0" collapsed="false">
      <c r="A645" s="8" t="s">
        <v>2531</v>
      </c>
      <c r="B645" s="8" t="s">
        <v>2532</v>
      </c>
      <c r="C645" s="8" t="n">
        <v>2023</v>
      </c>
      <c r="D645" s="8" t="s">
        <v>83</v>
      </c>
      <c r="E645" s="8" t="s">
        <v>2533</v>
      </c>
      <c r="F645" s="8" t="s">
        <v>782</v>
      </c>
      <c r="G645" s="8" t="s">
        <v>783</v>
      </c>
      <c r="H645" s="8" t="s">
        <v>861</v>
      </c>
    </row>
    <row r="646" customFormat="false" ht="15" hidden="false" customHeight="false" outlineLevel="0" collapsed="false">
      <c r="A646" s="8" t="s">
        <v>612</v>
      </c>
      <c r="B646" s="8" t="s">
        <v>613</v>
      </c>
      <c r="C646" s="8" t="n">
        <v>2019</v>
      </c>
      <c r="D646" s="8" t="s">
        <v>58</v>
      </c>
      <c r="E646" s="8"/>
      <c r="F646" s="8" t="s">
        <v>852</v>
      </c>
      <c r="G646" s="8" t="s">
        <v>853</v>
      </c>
      <c r="H646" s="8" t="s">
        <v>854</v>
      </c>
    </row>
    <row r="647" customFormat="false" ht="15" hidden="false" customHeight="false" outlineLevel="0" collapsed="false">
      <c r="A647" s="8" t="s">
        <v>478</v>
      </c>
      <c r="B647" s="8" t="s">
        <v>480</v>
      </c>
      <c r="C647" s="8" t="n">
        <v>2022</v>
      </c>
      <c r="D647" s="8" t="s">
        <v>83</v>
      </c>
      <c r="E647" s="8" t="s">
        <v>481</v>
      </c>
      <c r="F647" s="8" t="s">
        <v>852</v>
      </c>
      <c r="G647" s="8" t="s">
        <v>853</v>
      </c>
      <c r="H647" s="8" t="s">
        <v>854</v>
      </c>
    </row>
    <row r="648" customFormat="false" ht="15" hidden="false" customHeight="false" outlineLevel="0" collapsed="false">
      <c r="A648" s="8" t="s">
        <v>2534</v>
      </c>
      <c r="B648" s="8" t="s">
        <v>2535</v>
      </c>
      <c r="C648" s="8" t="n">
        <v>2019</v>
      </c>
      <c r="D648" s="8" t="s">
        <v>58</v>
      </c>
      <c r="E648" s="8" t="s">
        <v>2536</v>
      </c>
      <c r="F648" s="8" t="s">
        <v>782</v>
      </c>
      <c r="G648" s="8" t="s">
        <v>783</v>
      </c>
      <c r="H648" s="8" t="s">
        <v>784</v>
      </c>
    </row>
    <row r="649" customFormat="false" ht="15" hidden="false" customHeight="false" outlineLevel="0" collapsed="false">
      <c r="A649" s="8" t="s">
        <v>2537</v>
      </c>
      <c r="B649" s="8" t="s">
        <v>2538</v>
      </c>
      <c r="C649" s="8" t="n">
        <v>2020</v>
      </c>
      <c r="D649" s="8" t="s">
        <v>58</v>
      </c>
      <c r="E649" s="8" t="s">
        <v>2539</v>
      </c>
      <c r="F649" s="8" t="s">
        <v>782</v>
      </c>
      <c r="G649" s="8" t="s">
        <v>783</v>
      </c>
      <c r="H649" s="8" t="s">
        <v>784</v>
      </c>
    </row>
    <row r="650" customFormat="false" ht="15" hidden="false" customHeight="false" outlineLevel="0" collapsed="false">
      <c r="A650" s="8" t="s">
        <v>2540</v>
      </c>
      <c r="B650" s="8" t="s">
        <v>2541</v>
      </c>
      <c r="C650" s="8" t="n">
        <v>2021</v>
      </c>
      <c r="D650" s="8" t="s">
        <v>58</v>
      </c>
      <c r="E650" s="8" t="s">
        <v>2542</v>
      </c>
      <c r="F650" s="8" t="s">
        <v>782</v>
      </c>
      <c r="G650" s="8" t="s">
        <v>895</v>
      </c>
      <c r="H650" s="8" t="s">
        <v>896</v>
      </c>
    </row>
    <row r="651" customFormat="false" ht="15" hidden="false" customHeight="false" outlineLevel="0" collapsed="false">
      <c r="A651" s="8" t="s">
        <v>2543</v>
      </c>
      <c r="B651" s="8" t="s">
        <v>2544</v>
      </c>
      <c r="C651" s="8" t="n">
        <v>2022</v>
      </c>
      <c r="D651" s="8" t="s">
        <v>58</v>
      </c>
      <c r="E651" s="8" t="s">
        <v>2545</v>
      </c>
      <c r="F651" s="8" t="s">
        <v>782</v>
      </c>
      <c r="G651" s="8" t="s">
        <v>783</v>
      </c>
      <c r="H651" s="8" t="s">
        <v>784</v>
      </c>
    </row>
    <row r="652" customFormat="false" ht="15" hidden="false" customHeight="false" outlineLevel="0" collapsed="false">
      <c r="A652" s="8" t="s">
        <v>2546</v>
      </c>
      <c r="B652" s="8" t="s">
        <v>2547</v>
      </c>
      <c r="C652" s="8" t="n">
        <v>2020</v>
      </c>
      <c r="D652" s="8" t="s">
        <v>58</v>
      </c>
      <c r="E652" s="8" t="s">
        <v>2548</v>
      </c>
      <c r="F652" s="8" t="s">
        <v>782</v>
      </c>
      <c r="G652" s="8" t="s">
        <v>821</v>
      </c>
      <c r="H652" s="8" t="s">
        <v>822</v>
      </c>
    </row>
    <row r="653" customFormat="false" ht="15" hidden="false" customHeight="false" outlineLevel="0" collapsed="false">
      <c r="A653" s="8" t="s">
        <v>545</v>
      </c>
      <c r="B653" s="8" t="s">
        <v>547</v>
      </c>
      <c r="C653" s="8" t="n">
        <v>2020</v>
      </c>
      <c r="D653" s="8" t="s">
        <v>83</v>
      </c>
      <c r="E653" s="8" t="s">
        <v>549</v>
      </c>
      <c r="F653" s="8" t="s">
        <v>852</v>
      </c>
      <c r="G653" s="8" t="s">
        <v>853</v>
      </c>
      <c r="H653" s="8" t="s">
        <v>854</v>
      </c>
    </row>
    <row r="654" customFormat="false" ht="15" hidden="false" customHeight="false" outlineLevel="0" collapsed="false">
      <c r="A654" s="8" t="s">
        <v>2549</v>
      </c>
      <c r="B654" s="8" t="s">
        <v>2550</v>
      </c>
      <c r="C654" s="8" t="n">
        <v>2021</v>
      </c>
      <c r="D654" s="8" t="s">
        <v>58</v>
      </c>
      <c r="E654" s="8" t="s">
        <v>2551</v>
      </c>
      <c r="F654" s="8" t="s">
        <v>782</v>
      </c>
      <c r="G654" s="8" t="s">
        <v>783</v>
      </c>
      <c r="H654" s="8" t="s">
        <v>784</v>
      </c>
    </row>
    <row r="655" customFormat="false" ht="15" hidden="false" customHeight="false" outlineLevel="0" collapsed="false">
      <c r="A655" s="8" t="s">
        <v>2552</v>
      </c>
      <c r="B655" s="8" t="s">
        <v>2553</v>
      </c>
      <c r="C655" s="8" t="n">
        <v>2022</v>
      </c>
      <c r="D655" s="8" t="s">
        <v>58</v>
      </c>
      <c r="E655" s="8" t="s">
        <v>2554</v>
      </c>
      <c r="F655" s="8" t="s">
        <v>782</v>
      </c>
      <c r="G655" s="8" t="s">
        <v>783</v>
      </c>
      <c r="H655" s="8" t="s">
        <v>784</v>
      </c>
    </row>
    <row r="656" customFormat="false" ht="15" hidden="false" customHeight="false" outlineLevel="0" collapsed="false">
      <c r="A656" s="8" t="s">
        <v>2555</v>
      </c>
      <c r="B656" s="8" t="s">
        <v>2556</v>
      </c>
      <c r="C656" s="8" t="n">
        <v>2019</v>
      </c>
      <c r="D656" s="8" t="s">
        <v>83</v>
      </c>
      <c r="E656" s="8" t="s">
        <v>2557</v>
      </c>
      <c r="F656" s="8" t="s">
        <v>782</v>
      </c>
      <c r="G656" s="8" t="s">
        <v>783</v>
      </c>
      <c r="H656" s="8" t="s">
        <v>784</v>
      </c>
    </row>
    <row r="657" customFormat="false" ht="15" hidden="false" customHeight="false" outlineLevel="0" collapsed="false">
      <c r="A657" s="8" t="s">
        <v>2558</v>
      </c>
      <c r="B657" s="8" t="s">
        <v>2559</v>
      </c>
      <c r="C657" s="8" t="n">
        <v>2021</v>
      </c>
      <c r="D657" s="8" t="s">
        <v>83</v>
      </c>
      <c r="E657" s="8" t="s">
        <v>2560</v>
      </c>
      <c r="F657" s="8" t="s">
        <v>782</v>
      </c>
      <c r="G657" s="8" t="s">
        <v>783</v>
      </c>
      <c r="H657" s="8" t="s">
        <v>784</v>
      </c>
    </row>
    <row r="658" customFormat="false" ht="15" hidden="false" customHeight="false" outlineLevel="0" collapsed="false">
      <c r="A658" s="8" t="s">
        <v>2561</v>
      </c>
      <c r="B658" s="8" t="s">
        <v>2562</v>
      </c>
      <c r="C658" s="8" t="n">
        <v>2019</v>
      </c>
      <c r="D658" s="8" t="s">
        <v>58</v>
      </c>
      <c r="E658" s="8" t="s">
        <v>2563</v>
      </c>
      <c r="F658" s="8" t="s">
        <v>782</v>
      </c>
      <c r="G658" s="8" t="s">
        <v>783</v>
      </c>
      <c r="H658" s="8" t="s">
        <v>784</v>
      </c>
    </row>
    <row r="659" customFormat="false" ht="15" hidden="false" customHeight="false" outlineLevel="0" collapsed="false">
      <c r="A659" s="8" t="s">
        <v>2564</v>
      </c>
      <c r="B659" s="8" t="s">
        <v>2565</v>
      </c>
      <c r="C659" s="8" t="n">
        <v>2022</v>
      </c>
      <c r="D659" s="8" t="s">
        <v>83</v>
      </c>
      <c r="E659" s="8" t="s">
        <v>2566</v>
      </c>
      <c r="F659" s="8" t="s">
        <v>782</v>
      </c>
      <c r="G659" s="8" t="s">
        <v>783</v>
      </c>
      <c r="H659" s="8" t="s">
        <v>861</v>
      </c>
    </row>
    <row r="660" customFormat="false" ht="15" hidden="false" customHeight="false" outlineLevel="0" collapsed="false">
      <c r="A660" s="8" t="s">
        <v>2567</v>
      </c>
      <c r="B660" s="8" t="s">
        <v>2568</v>
      </c>
      <c r="C660" s="8" t="n">
        <v>2020</v>
      </c>
      <c r="D660" s="8" t="s">
        <v>83</v>
      </c>
      <c r="E660" s="8" t="s">
        <v>2569</v>
      </c>
      <c r="F660" s="8" t="s">
        <v>782</v>
      </c>
      <c r="G660" s="8" t="s">
        <v>788</v>
      </c>
      <c r="H660" s="8" t="s">
        <v>789</v>
      </c>
    </row>
    <row r="661" customFormat="false" ht="15" hidden="false" customHeight="false" outlineLevel="0" collapsed="false">
      <c r="A661" s="8" t="s">
        <v>2570</v>
      </c>
      <c r="B661" s="8" t="s">
        <v>2571</v>
      </c>
      <c r="C661" s="8" t="n">
        <v>2022</v>
      </c>
      <c r="D661" s="8" t="s">
        <v>58</v>
      </c>
      <c r="E661" s="8" t="s">
        <v>2572</v>
      </c>
      <c r="F661" s="8" t="s">
        <v>782</v>
      </c>
      <c r="G661" s="8" t="s">
        <v>783</v>
      </c>
      <c r="H661" s="8" t="s">
        <v>784</v>
      </c>
    </row>
    <row r="662" customFormat="false" ht="15" hidden="false" customHeight="false" outlineLevel="0" collapsed="false">
      <c r="A662" s="8" t="s">
        <v>2573</v>
      </c>
      <c r="B662" s="8" t="s">
        <v>2574</v>
      </c>
      <c r="C662" s="8" t="n">
        <v>2019</v>
      </c>
      <c r="D662" s="8" t="s">
        <v>58</v>
      </c>
      <c r="E662" s="8" t="s">
        <v>2575</v>
      </c>
      <c r="F662" s="8" t="s">
        <v>782</v>
      </c>
      <c r="G662" s="8" t="s">
        <v>783</v>
      </c>
      <c r="H662" s="8" t="s">
        <v>784</v>
      </c>
    </row>
    <row r="663" customFormat="false" ht="15" hidden="false" customHeight="false" outlineLevel="0" collapsed="false">
      <c r="A663" s="8" t="s">
        <v>2576</v>
      </c>
      <c r="B663" s="8" t="s">
        <v>2577</v>
      </c>
      <c r="C663" s="8" t="n">
        <v>2019</v>
      </c>
      <c r="D663" s="8" t="s">
        <v>83</v>
      </c>
      <c r="E663" s="8" t="s">
        <v>2578</v>
      </c>
      <c r="F663" s="8" t="s">
        <v>782</v>
      </c>
      <c r="G663" s="8" t="s">
        <v>783</v>
      </c>
      <c r="H663" s="8" t="s">
        <v>784</v>
      </c>
    </row>
    <row r="664" customFormat="false" ht="15" hidden="false" customHeight="false" outlineLevel="0" collapsed="false">
      <c r="A664" s="8" t="s">
        <v>2579</v>
      </c>
      <c r="B664" s="8" t="s">
        <v>2580</v>
      </c>
      <c r="C664" s="8" t="n">
        <v>2021</v>
      </c>
      <c r="D664" s="8" t="s">
        <v>58</v>
      </c>
      <c r="E664" s="8" t="s">
        <v>2581</v>
      </c>
      <c r="F664" s="8" t="s">
        <v>782</v>
      </c>
      <c r="G664" s="8" t="s">
        <v>783</v>
      </c>
      <c r="H664" s="8" t="s">
        <v>861</v>
      </c>
    </row>
    <row r="665" customFormat="false" ht="15" hidden="false" customHeight="false" outlineLevel="0" collapsed="false">
      <c r="A665" s="8" t="s">
        <v>493</v>
      </c>
      <c r="B665" s="8" t="s">
        <v>495</v>
      </c>
      <c r="C665" s="8" t="n">
        <v>2021</v>
      </c>
      <c r="D665" s="8" t="s">
        <v>58</v>
      </c>
      <c r="E665" s="8" t="s">
        <v>496</v>
      </c>
      <c r="F665" s="8" t="s">
        <v>852</v>
      </c>
      <c r="G665" s="8" t="s">
        <v>853</v>
      </c>
      <c r="H665" s="8" t="s">
        <v>854</v>
      </c>
    </row>
    <row r="666" customFormat="false" ht="15" hidden="false" customHeight="false" outlineLevel="0" collapsed="false">
      <c r="A666" s="8" t="s">
        <v>2582</v>
      </c>
      <c r="B666" s="8" t="s">
        <v>2583</v>
      </c>
      <c r="C666" s="8" t="n">
        <v>2019</v>
      </c>
      <c r="D666" s="8" t="s">
        <v>58</v>
      </c>
      <c r="E666" s="8" t="s">
        <v>2584</v>
      </c>
      <c r="F666" s="8" t="s">
        <v>782</v>
      </c>
      <c r="G666" s="8" t="s">
        <v>783</v>
      </c>
      <c r="H666" s="8" t="s">
        <v>784</v>
      </c>
    </row>
    <row r="667" customFormat="false" ht="15" hidden="false" customHeight="false" outlineLevel="0" collapsed="false">
      <c r="A667" s="8" t="s">
        <v>2585</v>
      </c>
      <c r="B667" s="8" t="s">
        <v>2586</v>
      </c>
      <c r="C667" s="8" t="n">
        <v>2022</v>
      </c>
      <c r="D667" s="8" t="s">
        <v>58</v>
      </c>
      <c r="E667" s="8" t="s">
        <v>2587</v>
      </c>
      <c r="F667" s="8" t="s">
        <v>782</v>
      </c>
      <c r="G667" s="8" t="s">
        <v>783</v>
      </c>
      <c r="H667" s="8" t="s">
        <v>784</v>
      </c>
    </row>
    <row r="668" customFormat="false" ht="15" hidden="false" customHeight="false" outlineLevel="0" collapsed="false">
      <c r="A668" s="8" t="s">
        <v>2588</v>
      </c>
      <c r="B668" s="8" t="s">
        <v>2589</v>
      </c>
      <c r="C668" s="8" t="n">
        <v>2022</v>
      </c>
      <c r="D668" s="8" t="s">
        <v>58</v>
      </c>
      <c r="E668" s="8"/>
      <c r="F668" s="8" t="s">
        <v>782</v>
      </c>
      <c r="G668" s="8" t="s">
        <v>783</v>
      </c>
      <c r="H668" s="8" t="s">
        <v>784</v>
      </c>
    </row>
    <row r="669" customFormat="false" ht="15" hidden="false" customHeight="false" outlineLevel="0" collapsed="false">
      <c r="A669" s="8" t="s">
        <v>2590</v>
      </c>
      <c r="B669" s="8" t="s">
        <v>2591</v>
      </c>
      <c r="C669" s="8" t="n">
        <v>2020</v>
      </c>
      <c r="D669" s="8" t="s">
        <v>58</v>
      </c>
      <c r="E669" s="8" t="s">
        <v>2592</v>
      </c>
      <c r="F669" s="8" t="s">
        <v>782</v>
      </c>
      <c r="G669" s="8" t="s">
        <v>801</v>
      </c>
      <c r="H669" s="8" t="s">
        <v>802</v>
      </c>
    </row>
    <row r="670" customFormat="false" ht="15" hidden="false" customHeight="false" outlineLevel="0" collapsed="false">
      <c r="A670" s="8" t="s">
        <v>2593</v>
      </c>
      <c r="B670" s="8" t="s">
        <v>2594</v>
      </c>
      <c r="C670" s="8" t="n">
        <v>2021</v>
      </c>
      <c r="D670" s="8" t="s">
        <v>58</v>
      </c>
      <c r="E670" s="8" t="s">
        <v>2595</v>
      </c>
      <c r="F670" s="8" t="s">
        <v>782</v>
      </c>
      <c r="G670" s="8" t="s">
        <v>783</v>
      </c>
      <c r="H670" s="8" t="s">
        <v>784</v>
      </c>
    </row>
    <row r="671" customFormat="false" ht="15" hidden="false" customHeight="false" outlineLevel="0" collapsed="false">
      <c r="A671" s="8" t="s">
        <v>2596</v>
      </c>
      <c r="B671" s="8" t="s">
        <v>2597</v>
      </c>
      <c r="C671" s="8" t="n">
        <v>2019</v>
      </c>
      <c r="D671" s="8" t="s">
        <v>58</v>
      </c>
      <c r="E671" s="8" t="s">
        <v>2598</v>
      </c>
      <c r="F671" s="8" t="s">
        <v>782</v>
      </c>
      <c r="G671" s="8" t="s">
        <v>783</v>
      </c>
      <c r="H671" s="8" t="s">
        <v>784</v>
      </c>
    </row>
    <row r="672" customFormat="false" ht="15" hidden="false" customHeight="false" outlineLevel="0" collapsed="false">
      <c r="A672" s="8" t="s">
        <v>2599</v>
      </c>
      <c r="B672" s="8" t="s">
        <v>2600</v>
      </c>
      <c r="C672" s="8" t="n">
        <v>2020</v>
      </c>
      <c r="D672" s="8" t="s">
        <v>58</v>
      </c>
      <c r="E672" s="8" t="s">
        <v>2601</v>
      </c>
      <c r="F672" s="8" t="s">
        <v>782</v>
      </c>
      <c r="G672" s="8" t="s">
        <v>801</v>
      </c>
      <c r="H672" s="8" t="s">
        <v>802</v>
      </c>
    </row>
    <row r="673" customFormat="false" ht="15" hidden="false" customHeight="false" outlineLevel="0" collapsed="false">
      <c r="A673" s="8" t="s">
        <v>2602</v>
      </c>
      <c r="B673" s="8" t="s">
        <v>2603</v>
      </c>
      <c r="C673" s="8" t="n">
        <v>2019</v>
      </c>
      <c r="D673" s="8" t="s">
        <v>83</v>
      </c>
      <c r="E673" s="8" t="s">
        <v>2604</v>
      </c>
      <c r="F673" s="8" t="s">
        <v>782</v>
      </c>
      <c r="G673" s="8" t="s">
        <v>783</v>
      </c>
      <c r="H673" s="8" t="s">
        <v>784</v>
      </c>
    </row>
    <row r="674" customFormat="false" ht="15" hidden="false" customHeight="false" outlineLevel="0" collapsed="false">
      <c r="A674" s="8" t="s">
        <v>418</v>
      </c>
      <c r="B674" s="8" t="s">
        <v>420</v>
      </c>
      <c r="C674" s="8" t="n">
        <v>2022</v>
      </c>
      <c r="D674" s="8" t="s">
        <v>83</v>
      </c>
      <c r="E674" s="8" t="s">
        <v>422</v>
      </c>
      <c r="F674" s="8" t="s">
        <v>852</v>
      </c>
      <c r="G674" s="8" t="s">
        <v>853</v>
      </c>
      <c r="H674" s="8" t="s">
        <v>854</v>
      </c>
    </row>
    <row r="675" customFormat="false" ht="15" hidden="false" customHeight="false" outlineLevel="0" collapsed="false">
      <c r="A675" s="8" t="s">
        <v>2605</v>
      </c>
      <c r="B675" s="8" t="s">
        <v>2606</v>
      </c>
      <c r="C675" s="8" t="n">
        <v>2020</v>
      </c>
      <c r="D675" s="8" t="s">
        <v>58</v>
      </c>
      <c r="E675" s="8" t="s">
        <v>2607</v>
      </c>
      <c r="F675" s="8" t="s">
        <v>782</v>
      </c>
      <c r="G675" s="8" t="s">
        <v>783</v>
      </c>
      <c r="H675" s="8" t="s">
        <v>784</v>
      </c>
    </row>
    <row r="676" customFormat="false" ht="15" hidden="false" customHeight="false" outlineLevel="0" collapsed="false">
      <c r="A676" s="8" t="s">
        <v>2608</v>
      </c>
      <c r="B676" s="8" t="s">
        <v>2609</v>
      </c>
      <c r="C676" s="8" t="n">
        <v>2022</v>
      </c>
      <c r="D676" s="8" t="s">
        <v>58</v>
      </c>
      <c r="E676" s="8" t="s">
        <v>2610</v>
      </c>
      <c r="F676" s="8" t="s">
        <v>782</v>
      </c>
      <c r="G676" s="8" t="s">
        <v>783</v>
      </c>
      <c r="H676" s="8" t="s">
        <v>784</v>
      </c>
    </row>
    <row r="677" customFormat="false" ht="15" hidden="false" customHeight="false" outlineLevel="0" collapsed="false">
      <c r="A677" s="8" t="s">
        <v>374</v>
      </c>
      <c r="B677" s="8" t="s">
        <v>376</v>
      </c>
      <c r="C677" s="8" t="n">
        <v>2023</v>
      </c>
      <c r="D677" s="8" t="s">
        <v>83</v>
      </c>
      <c r="E677" s="8" t="s">
        <v>377</v>
      </c>
      <c r="F677" s="8" t="s">
        <v>852</v>
      </c>
      <c r="G677" s="8" t="s">
        <v>853</v>
      </c>
      <c r="H677" s="8" t="s">
        <v>854</v>
      </c>
    </row>
    <row r="678" customFormat="false" ht="15" hidden="false" customHeight="false" outlineLevel="0" collapsed="false">
      <c r="A678" s="8" t="s">
        <v>2611</v>
      </c>
      <c r="B678" s="8" t="s">
        <v>2612</v>
      </c>
      <c r="C678" s="8" t="n">
        <v>2020</v>
      </c>
      <c r="D678" s="8" t="s">
        <v>58</v>
      </c>
      <c r="E678" s="8" t="s">
        <v>2613</v>
      </c>
      <c r="F678" s="8" t="s">
        <v>782</v>
      </c>
      <c r="G678" s="8" t="s">
        <v>783</v>
      </c>
      <c r="H678" s="8" t="s">
        <v>784</v>
      </c>
    </row>
    <row r="679" customFormat="false" ht="15" hidden="false" customHeight="false" outlineLevel="0" collapsed="false">
      <c r="A679" s="8" t="s">
        <v>2614</v>
      </c>
      <c r="B679" s="8" t="s">
        <v>2615</v>
      </c>
      <c r="C679" s="8" t="n">
        <v>2019</v>
      </c>
      <c r="D679" s="8" t="s">
        <v>58</v>
      </c>
      <c r="E679" s="8" t="s">
        <v>2616</v>
      </c>
      <c r="F679" s="8" t="s">
        <v>782</v>
      </c>
      <c r="G679" s="8" t="s">
        <v>801</v>
      </c>
      <c r="H679" s="8" t="s">
        <v>802</v>
      </c>
    </row>
    <row r="680" customFormat="false" ht="15" hidden="false" customHeight="false" outlineLevel="0" collapsed="false">
      <c r="A680" s="8" t="s">
        <v>2617</v>
      </c>
      <c r="B680" s="8" t="s">
        <v>2618</v>
      </c>
      <c r="C680" s="8" t="n">
        <v>2021</v>
      </c>
      <c r="D680" s="8" t="s">
        <v>58</v>
      </c>
      <c r="E680" s="8" t="s">
        <v>2619</v>
      </c>
      <c r="F680" s="8" t="s">
        <v>782</v>
      </c>
      <c r="G680" s="8" t="s">
        <v>783</v>
      </c>
      <c r="H680" s="8" t="s">
        <v>784</v>
      </c>
    </row>
    <row r="681" customFormat="false" ht="15" hidden="false" customHeight="false" outlineLevel="0" collapsed="false">
      <c r="A681" s="8" t="s">
        <v>2620</v>
      </c>
      <c r="B681" s="8" t="s">
        <v>2621</v>
      </c>
      <c r="C681" s="8" t="n">
        <v>2020</v>
      </c>
      <c r="D681" s="8" t="s">
        <v>58</v>
      </c>
      <c r="E681" s="8" t="s">
        <v>2622</v>
      </c>
      <c r="F681" s="8" t="s">
        <v>782</v>
      </c>
      <c r="G681" s="8" t="s">
        <v>783</v>
      </c>
      <c r="H681" s="8" t="s">
        <v>784</v>
      </c>
    </row>
    <row r="682" customFormat="false" ht="15" hidden="false" customHeight="false" outlineLevel="0" collapsed="false">
      <c r="A682" s="8" t="s">
        <v>2623</v>
      </c>
      <c r="B682" s="8" t="s">
        <v>2624</v>
      </c>
      <c r="C682" s="8" t="n">
        <v>2023</v>
      </c>
      <c r="D682" s="8" t="s">
        <v>83</v>
      </c>
      <c r="E682" s="8" t="s">
        <v>2625</v>
      </c>
      <c r="F682" s="8" t="s">
        <v>782</v>
      </c>
      <c r="G682" s="8" t="s">
        <v>783</v>
      </c>
      <c r="H682" s="8" t="s">
        <v>784</v>
      </c>
    </row>
    <row r="683" customFormat="false" ht="15" hidden="false" customHeight="false" outlineLevel="0" collapsed="false">
      <c r="A683" s="8" t="s">
        <v>2626</v>
      </c>
      <c r="B683" s="8" t="s">
        <v>2627</v>
      </c>
      <c r="C683" s="8" t="n">
        <v>2020</v>
      </c>
      <c r="D683" s="8" t="s">
        <v>58</v>
      </c>
      <c r="E683" s="8"/>
      <c r="F683" s="8" t="s">
        <v>782</v>
      </c>
      <c r="G683" s="8" t="s">
        <v>783</v>
      </c>
      <c r="H683" s="8" t="s">
        <v>861</v>
      </c>
    </row>
    <row r="684" customFormat="false" ht="15" hidden="false" customHeight="false" outlineLevel="0" collapsed="false">
      <c r="A684" s="8" t="s">
        <v>2628</v>
      </c>
      <c r="B684" s="8" t="s">
        <v>2629</v>
      </c>
      <c r="C684" s="8" t="n">
        <v>2020</v>
      </c>
      <c r="D684" s="8" t="s">
        <v>58</v>
      </c>
      <c r="E684" s="8"/>
      <c r="F684" s="8" t="s">
        <v>782</v>
      </c>
      <c r="G684" s="8" t="s">
        <v>783</v>
      </c>
      <c r="H684" s="8" t="s">
        <v>861</v>
      </c>
    </row>
    <row r="685" customFormat="false" ht="15" hidden="false" customHeight="false" outlineLevel="0" collapsed="false">
      <c r="A685" s="8" t="s">
        <v>2630</v>
      </c>
      <c r="B685" s="8" t="s">
        <v>2631</v>
      </c>
      <c r="C685" s="8" t="n">
        <v>2023</v>
      </c>
      <c r="D685" s="8" t="s">
        <v>58</v>
      </c>
      <c r="E685" s="8" t="s">
        <v>2632</v>
      </c>
      <c r="F685" s="8" t="s">
        <v>782</v>
      </c>
      <c r="G685" s="8" t="s">
        <v>783</v>
      </c>
      <c r="H685" s="8" t="s">
        <v>784</v>
      </c>
    </row>
    <row r="686" customFormat="false" ht="15" hidden="false" customHeight="false" outlineLevel="0" collapsed="false">
      <c r="A686" s="8" t="s">
        <v>2633</v>
      </c>
      <c r="B686" s="8" t="s">
        <v>2634</v>
      </c>
      <c r="C686" s="8" t="n">
        <v>2021</v>
      </c>
      <c r="D686" s="8" t="s">
        <v>58</v>
      </c>
      <c r="E686" s="8" t="s">
        <v>2635</v>
      </c>
      <c r="F686" s="8" t="s">
        <v>782</v>
      </c>
      <c r="G686" s="8" t="s">
        <v>783</v>
      </c>
      <c r="H686" s="8" t="s">
        <v>784</v>
      </c>
    </row>
    <row r="687" customFormat="false" ht="15" hidden="false" customHeight="false" outlineLevel="0" collapsed="false">
      <c r="A687" s="8" t="s">
        <v>2636</v>
      </c>
      <c r="B687" s="8" t="s">
        <v>2637</v>
      </c>
      <c r="C687" s="8" t="n">
        <v>2020</v>
      </c>
      <c r="D687" s="8" t="s">
        <v>58</v>
      </c>
      <c r="E687" s="8" t="s">
        <v>2638</v>
      </c>
      <c r="F687" s="8" t="s">
        <v>782</v>
      </c>
      <c r="G687" s="8" t="s">
        <v>783</v>
      </c>
      <c r="H687" s="8" t="s">
        <v>784</v>
      </c>
    </row>
    <row r="688" customFormat="false" ht="15" hidden="false" customHeight="false" outlineLevel="0" collapsed="false">
      <c r="A688" s="8" t="s">
        <v>2639</v>
      </c>
      <c r="B688" s="8" t="s">
        <v>2640</v>
      </c>
      <c r="C688" s="8" t="n">
        <v>2023</v>
      </c>
      <c r="D688" s="8" t="s">
        <v>58</v>
      </c>
      <c r="E688" s="8" t="s">
        <v>2641</v>
      </c>
      <c r="F688" s="8" t="s">
        <v>782</v>
      </c>
      <c r="G688" s="8" t="s">
        <v>783</v>
      </c>
      <c r="H688" s="8" t="s">
        <v>784</v>
      </c>
    </row>
    <row r="689" customFormat="false" ht="15" hidden="false" customHeight="false" outlineLevel="0" collapsed="false">
      <c r="A689" s="8" t="s">
        <v>2642</v>
      </c>
      <c r="B689" s="8" t="s">
        <v>2643</v>
      </c>
      <c r="C689" s="8" t="n">
        <v>2022</v>
      </c>
      <c r="D689" s="8" t="s">
        <v>58</v>
      </c>
      <c r="E689" s="8" t="s">
        <v>2644</v>
      </c>
      <c r="F689" s="8" t="s">
        <v>782</v>
      </c>
      <c r="G689" s="8" t="s">
        <v>783</v>
      </c>
      <c r="H689" s="8" t="s">
        <v>784</v>
      </c>
    </row>
    <row r="690" customFormat="false" ht="15" hidden="false" customHeight="false" outlineLevel="0" collapsed="false">
      <c r="A690" s="8" t="s">
        <v>2645</v>
      </c>
      <c r="B690" s="8" t="s">
        <v>2646</v>
      </c>
      <c r="C690" s="8" t="n">
        <v>2022</v>
      </c>
      <c r="D690" s="8" t="s">
        <v>58</v>
      </c>
      <c r="E690" s="8" t="s">
        <v>2647</v>
      </c>
      <c r="F690" s="8" t="s">
        <v>782</v>
      </c>
      <c r="G690" s="8" t="s">
        <v>895</v>
      </c>
      <c r="H690" s="8" t="s">
        <v>896</v>
      </c>
    </row>
    <row r="691" customFormat="false" ht="15" hidden="false" customHeight="false" outlineLevel="0" collapsed="false">
      <c r="A691" s="8" t="s">
        <v>2648</v>
      </c>
      <c r="B691" s="8" t="s">
        <v>2649</v>
      </c>
      <c r="C691" s="8" t="n">
        <v>2020</v>
      </c>
      <c r="D691" s="8" t="s">
        <v>58</v>
      </c>
      <c r="E691" s="8" t="s">
        <v>2650</v>
      </c>
      <c r="F691" s="8" t="s">
        <v>782</v>
      </c>
      <c r="G691" s="8" t="s">
        <v>783</v>
      </c>
      <c r="H691" s="8" t="s">
        <v>784</v>
      </c>
    </row>
    <row r="692" customFormat="false" ht="15" hidden="false" customHeight="false" outlineLevel="0" collapsed="false">
      <c r="A692" s="8" t="s">
        <v>2651</v>
      </c>
      <c r="B692" s="8" t="s">
        <v>2652</v>
      </c>
      <c r="C692" s="8" t="n">
        <v>2021</v>
      </c>
      <c r="D692" s="8" t="s">
        <v>83</v>
      </c>
      <c r="E692" s="8" t="s">
        <v>2653</v>
      </c>
      <c r="F692" s="8" t="s">
        <v>782</v>
      </c>
      <c r="G692" s="8" t="s">
        <v>783</v>
      </c>
      <c r="H692" s="8" t="s">
        <v>784</v>
      </c>
    </row>
    <row r="693" customFormat="false" ht="15" hidden="false" customHeight="false" outlineLevel="0" collapsed="false">
      <c r="A693" s="8" t="s">
        <v>522</v>
      </c>
      <c r="B693" s="8" t="s">
        <v>524</v>
      </c>
      <c r="C693" s="8" t="n">
        <v>2021</v>
      </c>
      <c r="D693" s="8" t="s">
        <v>83</v>
      </c>
      <c r="E693" s="8" t="s">
        <v>525</v>
      </c>
      <c r="F693" s="8" t="s">
        <v>852</v>
      </c>
      <c r="G693" s="8" t="s">
        <v>853</v>
      </c>
      <c r="H693" s="8" t="s">
        <v>854</v>
      </c>
    </row>
    <row r="694" customFormat="false" ht="15" hidden="false" customHeight="false" outlineLevel="0" collapsed="false">
      <c r="A694" s="8" t="s">
        <v>572</v>
      </c>
      <c r="B694" s="8" t="s">
        <v>574</v>
      </c>
      <c r="C694" s="8" t="n">
        <v>2019</v>
      </c>
      <c r="D694" s="8" t="s">
        <v>90</v>
      </c>
      <c r="E694" s="8" t="s">
        <v>575</v>
      </c>
      <c r="F694" s="8" t="s">
        <v>852</v>
      </c>
      <c r="G694" s="8" t="s">
        <v>853</v>
      </c>
      <c r="H694" s="8" t="s">
        <v>854</v>
      </c>
    </row>
    <row r="695" customFormat="false" ht="15" hidden="false" customHeight="false" outlineLevel="0" collapsed="false">
      <c r="A695" s="8" t="s">
        <v>2654</v>
      </c>
      <c r="B695" s="8" t="s">
        <v>2655</v>
      </c>
      <c r="C695" s="8" t="n">
        <v>2022</v>
      </c>
      <c r="D695" s="8" t="s">
        <v>58</v>
      </c>
      <c r="E695" s="8" t="s">
        <v>2656</v>
      </c>
      <c r="F695" s="8" t="s">
        <v>782</v>
      </c>
      <c r="G695" s="8" t="s">
        <v>783</v>
      </c>
      <c r="H695" s="8" t="s">
        <v>784</v>
      </c>
    </row>
    <row r="696" customFormat="false" ht="15" hidden="false" customHeight="false" outlineLevel="0" collapsed="false">
      <c r="A696" s="8" t="s">
        <v>2657</v>
      </c>
      <c r="B696" s="8" t="s">
        <v>2658</v>
      </c>
      <c r="C696" s="8" t="n">
        <v>2020</v>
      </c>
      <c r="D696" s="8" t="s">
        <v>58</v>
      </c>
      <c r="E696" s="8" t="s">
        <v>2659</v>
      </c>
      <c r="F696" s="8" t="s">
        <v>782</v>
      </c>
      <c r="G696" s="8" t="s">
        <v>783</v>
      </c>
      <c r="H696" s="8" t="s">
        <v>784</v>
      </c>
    </row>
    <row r="697" customFormat="false" ht="15" hidden="false" customHeight="false" outlineLevel="0" collapsed="false">
      <c r="A697" s="8" t="s">
        <v>2660</v>
      </c>
      <c r="B697" s="8" t="s">
        <v>2661</v>
      </c>
      <c r="C697" s="8" t="n">
        <v>2022</v>
      </c>
      <c r="D697" s="8" t="s">
        <v>58</v>
      </c>
      <c r="E697" s="8" t="s">
        <v>2662</v>
      </c>
      <c r="F697" s="8" t="s">
        <v>782</v>
      </c>
      <c r="G697" s="8" t="s">
        <v>783</v>
      </c>
      <c r="H697" s="8" t="s">
        <v>784</v>
      </c>
    </row>
    <row r="698" customFormat="false" ht="15" hidden="false" customHeight="false" outlineLevel="0" collapsed="false">
      <c r="A698" s="8" t="s">
        <v>2663</v>
      </c>
      <c r="B698" s="8" t="s">
        <v>2664</v>
      </c>
      <c r="C698" s="8" t="n">
        <v>2023</v>
      </c>
      <c r="D698" s="8" t="s">
        <v>58</v>
      </c>
      <c r="E698" s="8" t="s">
        <v>2665</v>
      </c>
      <c r="F698" s="8" t="s">
        <v>782</v>
      </c>
      <c r="G698" s="8" t="s">
        <v>783</v>
      </c>
      <c r="H698" s="8" t="s">
        <v>861</v>
      </c>
    </row>
    <row r="699" customFormat="false" ht="15" hidden="false" customHeight="false" outlineLevel="0" collapsed="false">
      <c r="A699" s="8" t="s">
        <v>2666</v>
      </c>
      <c r="B699" s="8" t="s">
        <v>2667</v>
      </c>
      <c r="C699" s="8" t="n">
        <v>2021</v>
      </c>
      <c r="D699" s="8" t="s">
        <v>83</v>
      </c>
      <c r="E699" s="8" t="s">
        <v>2668</v>
      </c>
      <c r="F699" s="8" t="s">
        <v>782</v>
      </c>
      <c r="G699" s="8" t="s">
        <v>783</v>
      </c>
      <c r="H699" s="8" t="s">
        <v>784</v>
      </c>
    </row>
    <row r="700" customFormat="false" ht="15" hidden="false" customHeight="false" outlineLevel="0" collapsed="false">
      <c r="A700" s="8" t="s">
        <v>2669</v>
      </c>
      <c r="B700" s="8" t="s">
        <v>2670</v>
      </c>
      <c r="C700" s="8" t="n">
        <v>2021</v>
      </c>
      <c r="D700" s="8" t="s">
        <v>58</v>
      </c>
      <c r="E700" s="8" t="s">
        <v>2671</v>
      </c>
      <c r="F700" s="8" t="s">
        <v>782</v>
      </c>
      <c r="G700" s="8" t="s">
        <v>783</v>
      </c>
      <c r="H700" s="8" t="s">
        <v>861</v>
      </c>
    </row>
    <row r="701" customFormat="false" ht="15" hidden="false" customHeight="false" outlineLevel="0" collapsed="false">
      <c r="A701" s="8" t="s">
        <v>2672</v>
      </c>
      <c r="B701" s="8" t="s">
        <v>2673</v>
      </c>
      <c r="C701" s="8" t="n">
        <v>2022</v>
      </c>
      <c r="D701" s="8" t="s">
        <v>58</v>
      </c>
      <c r="E701" s="8" t="s">
        <v>2674</v>
      </c>
      <c r="F701" s="8" t="s">
        <v>782</v>
      </c>
      <c r="G701" s="8" t="s">
        <v>783</v>
      </c>
      <c r="H701" s="8" t="s">
        <v>784</v>
      </c>
    </row>
    <row r="702" customFormat="false" ht="15" hidden="false" customHeight="false" outlineLevel="0" collapsed="false">
      <c r="A702" s="8" t="s">
        <v>2675</v>
      </c>
      <c r="B702" s="8" t="s">
        <v>2676</v>
      </c>
      <c r="C702" s="8" t="n">
        <v>2022</v>
      </c>
      <c r="D702" s="8" t="s">
        <v>58</v>
      </c>
      <c r="E702" s="8" t="s">
        <v>2677</v>
      </c>
      <c r="F702" s="8" t="s">
        <v>782</v>
      </c>
      <c r="G702" s="8" t="s">
        <v>783</v>
      </c>
      <c r="H702" s="8" t="s">
        <v>784</v>
      </c>
    </row>
    <row r="703" customFormat="false" ht="15" hidden="false" customHeight="false" outlineLevel="0" collapsed="false">
      <c r="A703" s="8" t="s">
        <v>2678</v>
      </c>
      <c r="B703" s="8" t="s">
        <v>2679</v>
      </c>
      <c r="C703" s="8" t="n">
        <v>2020</v>
      </c>
      <c r="D703" s="8" t="s">
        <v>58</v>
      </c>
      <c r="E703" s="8" t="s">
        <v>2680</v>
      </c>
      <c r="F703" s="8" t="s">
        <v>782</v>
      </c>
      <c r="G703" s="8" t="s">
        <v>783</v>
      </c>
      <c r="H703" s="8" t="s">
        <v>784</v>
      </c>
    </row>
    <row r="704" customFormat="false" ht="15" hidden="false" customHeight="false" outlineLevel="0" collapsed="false">
      <c r="A704" s="8" t="s">
        <v>2681</v>
      </c>
      <c r="B704" s="8" t="s">
        <v>2682</v>
      </c>
      <c r="C704" s="8" t="n">
        <v>2019</v>
      </c>
      <c r="D704" s="8" t="s">
        <v>58</v>
      </c>
      <c r="E704" s="8"/>
      <c r="F704" s="8" t="s">
        <v>782</v>
      </c>
      <c r="G704" s="8" t="s">
        <v>801</v>
      </c>
      <c r="H704" s="8" t="s">
        <v>802</v>
      </c>
    </row>
    <row r="705" customFormat="false" ht="15" hidden="false" customHeight="false" outlineLevel="0" collapsed="false">
      <c r="A705" s="8" t="s">
        <v>2683</v>
      </c>
      <c r="B705" s="8" t="s">
        <v>2684</v>
      </c>
      <c r="C705" s="8" t="n">
        <v>2022</v>
      </c>
      <c r="D705" s="8" t="s">
        <v>83</v>
      </c>
      <c r="E705" s="8" t="s">
        <v>2685</v>
      </c>
      <c r="F705" s="8" t="s">
        <v>782</v>
      </c>
      <c r="G705" s="8" t="s">
        <v>783</v>
      </c>
      <c r="H705" s="8" t="s">
        <v>784</v>
      </c>
    </row>
    <row r="706" customFormat="false" ht="15" hidden="false" customHeight="false" outlineLevel="0" collapsed="false">
      <c r="A706" s="8" t="s">
        <v>2686</v>
      </c>
      <c r="B706" s="8" t="s">
        <v>2687</v>
      </c>
      <c r="C706" s="8" t="n">
        <v>2022</v>
      </c>
      <c r="D706" s="8" t="s">
        <v>58</v>
      </c>
      <c r="E706" s="8" t="s">
        <v>2688</v>
      </c>
      <c r="F706" s="8" t="s">
        <v>782</v>
      </c>
      <c r="G706" s="8" t="s">
        <v>801</v>
      </c>
      <c r="H706" s="8" t="s">
        <v>802</v>
      </c>
    </row>
    <row r="707" customFormat="false" ht="15" hidden="false" customHeight="false" outlineLevel="0" collapsed="false">
      <c r="A707" s="8" t="s">
        <v>2689</v>
      </c>
      <c r="B707" s="8" t="s">
        <v>2690</v>
      </c>
      <c r="C707" s="8" t="n">
        <v>2023</v>
      </c>
      <c r="D707" s="8" t="s">
        <v>58</v>
      </c>
      <c r="E707" s="8" t="s">
        <v>2691</v>
      </c>
      <c r="F707" s="8" t="s">
        <v>782</v>
      </c>
      <c r="G707" s="8" t="s">
        <v>783</v>
      </c>
      <c r="H707" s="8" t="s">
        <v>784</v>
      </c>
    </row>
    <row r="708" customFormat="false" ht="15" hidden="false" customHeight="false" outlineLevel="0" collapsed="false">
      <c r="A708" s="8" t="s">
        <v>2692</v>
      </c>
      <c r="B708" s="8" t="s">
        <v>2693</v>
      </c>
      <c r="C708" s="8" t="n">
        <v>2019</v>
      </c>
      <c r="D708" s="8" t="s">
        <v>58</v>
      </c>
      <c r="E708" s="8" t="s">
        <v>2694</v>
      </c>
      <c r="F708" s="8" t="s">
        <v>782</v>
      </c>
      <c r="G708" s="8" t="s">
        <v>783</v>
      </c>
      <c r="H708" s="8" t="s">
        <v>784</v>
      </c>
    </row>
    <row r="709" customFormat="false" ht="15" hidden="false" customHeight="false" outlineLevel="0" collapsed="false">
      <c r="A709" s="8" t="s">
        <v>2695</v>
      </c>
      <c r="B709" s="8" t="s">
        <v>2696</v>
      </c>
      <c r="C709" s="8" t="n">
        <v>2021</v>
      </c>
      <c r="D709" s="8" t="s">
        <v>58</v>
      </c>
      <c r="E709" s="8" t="s">
        <v>2697</v>
      </c>
      <c r="F709" s="8" t="s">
        <v>782</v>
      </c>
      <c r="G709" s="8" t="s">
        <v>783</v>
      </c>
      <c r="H709" s="8" t="s">
        <v>784</v>
      </c>
    </row>
    <row r="710" customFormat="false" ht="15" hidden="false" customHeight="false" outlineLevel="0" collapsed="false">
      <c r="A710" s="8" t="s">
        <v>2698</v>
      </c>
      <c r="B710" s="8" t="s">
        <v>2699</v>
      </c>
      <c r="C710" s="8" t="n">
        <v>2019</v>
      </c>
      <c r="D710" s="8" t="s">
        <v>58</v>
      </c>
      <c r="E710" s="8" t="s">
        <v>2700</v>
      </c>
      <c r="F710" s="8" t="s">
        <v>782</v>
      </c>
      <c r="G710" s="8" t="s">
        <v>783</v>
      </c>
      <c r="H710" s="8" t="s">
        <v>861</v>
      </c>
    </row>
    <row r="711" customFormat="false" ht="15" hidden="false" customHeight="false" outlineLevel="0" collapsed="false">
      <c r="A711" s="8" t="s">
        <v>368</v>
      </c>
      <c r="B711" s="8" t="s">
        <v>370</v>
      </c>
      <c r="C711" s="8" t="n">
        <v>2023</v>
      </c>
      <c r="D711" s="8" t="s">
        <v>58</v>
      </c>
      <c r="E711" s="8" t="s">
        <v>372</v>
      </c>
      <c r="F711" s="8" t="s">
        <v>852</v>
      </c>
      <c r="G711" s="8" t="s">
        <v>853</v>
      </c>
      <c r="H711" s="8" t="s">
        <v>854</v>
      </c>
    </row>
    <row r="712" customFormat="false" ht="15" hidden="false" customHeight="false" outlineLevel="0" collapsed="false">
      <c r="A712" s="8" t="s">
        <v>2701</v>
      </c>
      <c r="B712" s="8" t="s">
        <v>2702</v>
      </c>
      <c r="C712" s="8" t="n">
        <v>2021</v>
      </c>
      <c r="D712" s="8" t="s">
        <v>74</v>
      </c>
      <c r="E712" s="8" t="s">
        <v>2703</v>
      </c>
      <c r="F712" s="8" t="s">
        <v>782</v>
      </c>
      <c r="G712" s="8" t="s">
        <v>783</v>
      </c>
      <c r="H712" s="8" t="s">
        <v>784</v>
      </c>
    </row>
    <row r="713" customFormat="false" ht="15" hidden="false" customHeight="false" outlineLevel="0" collapsed="false">
      <c r="A713" s="8" t="s">
        <v>2704</v>
      </c>
      <c r="B713" s="8" t="s">
        <v>2705</v>
      </c>
      <c r="C713" s="8" t="n">
        <v>2023</v>
      </c>
      <c r="D713" s="8" t="s">
        <v>58</v>
      </c>
      <c r="E713" s="8" t="s">
        <v>2706</v>
      </c>
      <c r="F713" s="8" t="s">
        <v>782</v>
      </c>
      <c r="G713" s="8" t="s">
        <v>783</v>
      </c>
      <c r="H713" s="8" t="s">
        <v>784</v>
      </c>
    </row>
    <row r="714" customFormat="false" ht="15" hidden="false" customHeight="false" outlineLevel="0" collapsed="false">
      <c r="A714" s="8" t="s">
        <v>2707</v>
      </c>
      <c r="B714" s="8" t="s">
        <v>2708</v>
      </c>
      <c r="C714" s="8" t="n">
        <v>2020</v>
      </c>
      <c r="D714" s="8" t="s">
        <v>58</v>
      </c>
      <c r="E714" s="8" t="s">
        <v>2709</v>
      </c>
      <c r="F714" s="8" t="s">
        <v>782</v>
      </c>
      <c r="G714" s="8" t="s">
        <v>783</v>
      </c>
      <c r="H714" s="8" t="s">
        <v>784</v>
      </c>
    </row>
    <row r="715" customFormat="false" ht="15" hidden="false" customHeight="false" outlineLevel="0" collapsed="false">
      <c r="A715" s="8" t="s">
        <v>2710</v>
      </c>
      <c r="B715" s="8" t="s">
        <v>2711</v>
      </c>
      <c r="C715" s="8" t="n">
        <v>2019</v>
      </c>
      <c r="D715" s="8" t="s">
        <v>58</v>
      </c>
      <c r="E715" s="8" t="s">
        <v>2712</v>
      </c>
      <c r="F715" s="8" t="s">
        <v>782</v>
      </c>
      <c r="G715" s="8" t="s">
        <v>783</v>
      </c>
      <c r="H715" s="8" t="s">
        <v>784</v>
      </c>
    </row>
    <row r="716" customFormat="false" ht="15" hidden="false" customHeight="false" outlineLevel="0" collapsed="false">
      <c r="A716" s="8" t="s">
        <v>2713</v>
      </c>
      <c r="B716" s="8" t="s">
        <v>2714</v>
      </c>
      <c r="C716" s="8" t="n">
        <v>2019</v>
      </c>
      <c r="D716" s="8" t="s">
        <v>58</v>
      </c>
      <c r="E716" s="8" t="s">
        <v>2715</v>
      </c>
      <c r="F716" s="8" t="s">
        <v>782</v>
      </c>
      <c r="G716" s="8" t="s">
        <v>783</v>
      </c>
      <c r="H716" s="8" t="s">
        <v>861</v>
      </c>
    </row>
    <row r="717" customFormat="false" ht="15" hidden="false" customHeight="false" outlineLevel="0" collapsed="false">
      <c r="A717" s="8" t="s">
        <v>2716</v>
      </c>
      <c r="B717" s="8" t="s">
        <v>2717</v>
      </c>
      <c r="C717" s="8" t="n">
        <v>2023</v>
      </c>
      <c r="D717" s="8" t="s">
        <v>58</v>
      </c>
      <c r="E717" s="8" t="s">
        <v>2718</v>
      </c>
      <c r="F717" s="8" t="s">
        <v>782</v>
      </c>
      <c r="G717" s="8" t="s">
        <v>783</v>
      </c>
      <c r="H717" s="8" t="s">
        <v>784</v>
      </c>
    </row>
    <row r="718" customFormat="false" ht="15" hidden="false" customHeight="false" outlineLevel="0" collapsed="false">
      <c r="A718" s="8" t="s">
        <v>2719</v>
      </c>
      <c r="B718" s="8" t="s">
        <v>2720</v>
      </c>
      <c r="C718" s="8" t="n">
        <v>2021</v>
      </c>
      <c r="D718" s="8" t="s">
        <v>58</v>
      </c>
      <c r="E718" s="8" t="s">
        <v>2721</v>
      </c>
      <c r="F718" s="8" t="s">
        <v>782</v>
      </c>
      <c r="G718" s="8" t="s">
        <v>783</v>
      </c>
      <c r="H718" s="8" t="s">
        <v>784</v>
      </c>
    </row>
    <row r="719" customFormat="false" ht="15" hidden="false" customHeight="false" outlineLevel="0" collapsed="false">
      <c r="A719" s="8" t="s">
        <v>2722</v>
      </c>
      <c r="B719" s="8" t="s">
        <v>2723</v>
      </c>
      <c r="C719" s="8" t="n">
        <v>2022</v>
      </c>
      <c r="D719" s="8" t="s">
        <v>58</v>
      </c>
      <c r="E719" s="8" t="s">
        <v>2724</v>
      </c>
      <c r="F719" s="8" t="s">
        <v>782</v>
      </c>
      <c r="G719" s="8" t="s">
        <v>783</v>
      </c>
      <c r="H719" s="8" t="s">
        <v>784</v>
      </c>
    </row>
    <row r="720" customFormat="false" ht="15" hidden="false" customHeight="false" outlineLevel="0" collapsed="false">
      <c r="A720" s="8" t="s">
        <v>2725</v>
      </c>
      <c r="B720" s="8" t="s">
        <v>2726</v>
      </c>
      <c r="C720" s="8" t="n">
        <v>2023</v>
      </c>
      <c r="D720" s="8" t="s">
        <v>58</v>
      </c>
      <c r="E720" s="8" t="s">
        <v>2727</v>
      </c>
      <c r="F720" s="8" t="s">
        <v>782</v>
      </c>
      <c r="G720" s="8" t="s">
        <v>783</v>
      </c>
      <c r="H720" s="8" t="s">
        <v>784</v>
      </c>
    </row>
    <row r="721" customFormat="false" ht="15" hidden="false" customHeight="false" outlineLevel="0" collapsed="false">
      <c r="A721" s="8" t="s">
        <v>2728</v>
      </c>
      <c r="B721" s="8" t="s">
        <v>2729</v>
      </c>
      <c r="C721" s="8" t="n">
        <v>2022</v>
      </c>
      <c r="D721" s="8" t="s">
        <v>58</v>
      </c>
      <c r="E721" s="8" t="s">
        <v>2730</v>
      </c>
      <c r="F721" s="8" t="s">
        <v>782</v>
      </c>
      <c r="G721" s="8" t="s">
        <v>783</v>
      </c>
      <c r="H721" s="8" t="s">
        <v>784</v>
      </c>
    </row>
    <row r="722" customFormat="false" ht="15" hidden="false" customHeight="false" outlineLevel="0" collapsed="false">
      <c r="A722" s="8" t="s">
        <v>2731</v>
      </c>
      <c r="B722" s="8" t="s">
        <v>2732</v>
      </c>
      <c r="C722" s="8" t="n">
        <v>2023</v>
      </c>
      <c r="D722" s="8" t="s">
        <v>58</v>
      </c>
      <c r="E722" s="8" t="s">
        <v>2733</v>
      </c>
      <c r="F722" s="8" t="s">
        <v>782</v>
      </c>
      <c r="G722" s="8" t="s">
        <v>783</v>
      </c>
      <c r="H722" s="8" t="s">
        <v>784</v>
      </c>
    </row>
    <row r="723" customFormat="false" ht="15" hidden="false" customHeight="false" outlineLevel="0" collapsed="false">
      <c r="A723" s="8" t="s">
        <v>2734</v>
      </c>
      <c r="B723" s="8" t="s">
        <v>2735</v>
      </c>
      <c r="C723" s="8" t="n">
        <v>2023</v>
      </c>
      <c r="D723" s="8" t="s">
        <v>83</v>
      </c>
      <c r="E723" s="8" t="s">
        <v>2736</v>
      </c>
      <c r="F723" s="8" t="s">
        <v>782</v>
      </c>
      <c r="G723" s="8" t="s">
        <v>783</v>
      </c>
      <c r="H723" s="8" t="s">
        <v>784</v>
      </c>
    </row>
    <row r="724" customFormat="false" ht="15" hidden="false" customHeight="false" outlineLevel="0" collapsed="false">
      <c r="A724" s="8" t="s">
        <v>2737</v>
      </c>
      <c r="B724" s="8" t="s">
        <v>2738</v>
      </c>
      <c r="C724" s="8" t="n">
        <v>2021</v>
      </c>
      <c r="D724" s="8" t="s">
        <v>83</v>
      </c>
      <c r="E724" s="8" t="s">
        <v>2739</v>
      </c>
      <c r="F724" s="8" t="s">
        <v>782</v>
      </c>
      <c r="G724" s="8" t="s">
        <v>783</v>
      </c>
      <c r="H724" s="8" t="s">
        <v>861</v>
      </c>
    </row>
    <row r="725" customFormat="false" ht="15" hidden="false" customHeight="false" outlineLevel="0" collapsed="false">
      <c r="A725" s="8" t="s">
        <v>2740</v>
      </c>
      <c r="B725" s="8" t="s">
        <v>2741</v>
      </c>
      <c r="C725" s="8" t="n">
        <v>2023</v>
      </c>
      <c r="D725" s="8" t="s">
        <v>58</v>
      </c>
      <c r="E725" s="8" t="s">
        <v>2742</v>
      </c>
      <c r="F725" s="8" t="s">
        <v>782</v>
      </c>
      <c r="G725" s="8" t="s">
        <v>783</v>
      </c>
      <c r="H725" s="8" t="s">
        <v>784</v>
      </c>
    </row>
    <row r="726" customFormat="false" ht="15" hidden="false" customHeight="false" outlineLevel="0" collapsed="false">
      <c r="A726" s="8" t="s">
        <v>2743</v>
      </c>
      <c r="B726" s="8" t="s">
        <v>2744</v>
      </c>
      <c r="C726" s="8" t="n">
        <v>2021</v>
      </c>
      <c r="D726" s="8" t="s">
        <v>58</v>
      </c>
      <c r="E726" s="8" t="s">
        <v>2745</v>
      </c>
      <c r="F726" s="8" t="s">
        <v>782</v>
      </c>
      <c r="G726" s="8" t="s">
        <v>783</v>
      </c>
      <c r="H726" s="8" t="s">
        <v>784</v>
      </c>
    </row>
    <row r="727" customFormat="false" ht="15" hidden="false" customHeight="false" outlineLevel="0" collapsed="false">
      <c r="A727" s="8" t="s">
        <v>598</v>
      </c>
      <c r="B727" s="8" t="s">
        <v>599</v>
      </c>
      <c r="C727" s="8" t="n">
        <v>2019</v>
      </c>
      <c r="D727" s="8" t="s">
        <v>58</v>
      </c>
      <c r="E727" s="8" t="s">
        <v>600</v>
      </c>
      <c r="F727" s="8" t="s">
        <v>852</v>
      </c>
      <c r="G727" s="8" t="s">
        <v>853</v>
      </c>
      <c r="H727" s="8" t="s">
        <v>854</v>
      </c>
    </row>
    <row r="728" customFormat="false" ht="15" hidden="false" customHeight="false" outlineLevel="0" collapsed="false">
      <c r="A728" s="8" t="s">
        <v>2746</v>
      </c>
      <c r="B728" s="8" t="s">
        <v>2747</v>
      </c>
      <c r="C728" s="8" t="n">
        <v>2022</v>
      </c>
      <c r="D728" s="8" t="s">
        <v>83</v>
      </c>
      <c r="E728" s="8" t="s">
        <v>2748</v>
      </c>
      <c r="F728" s="8" t="s">
        <v>782</v>
      </c>
      <c r="G728" s="8" t="s">
        <v>783</v>
      </c>
      <c r="H728" s="8" t="s">
        <v>784</v>
      </c>
    </row>
    <row r="729" customFormat="false" ht="15" hidden="false" customHeight="false" outlineLevel="0" collapsed="false">
      <c r="A729" s="8" t="s">
        <v>2749</v>
      </c>
      <c r="B729" s="8" t="s">
        <v>2750</v>
      </c>
      <c r="C729" s="8" t="n">
        <v>2023</v>
      </c>
      <c r="D729" s="8" t="s">
        <v>58</v>
      </c>
      <c r="E729" s="8" t="s">
        <v>2751</v>
      </c>
      <c r="F729" s="8" t="s">
        <v>782</v>
      </c>
      <c r="G729" s="8" t="s">
        <v>783</v>
      </c>
      <c r="H729" s="8" t="s">
        <v>784</v>
      </c>
    </row>
    <row r="730" customFormat="false" ht="15" hidden="false" customHeight="false" outlineLevel="0" collapsed="false">
      <c r="A730" s="8" t="s">
        <v>2752</v>
      </c>
      <c r="B730" s="8" t="s">
        <v>2753</v>
      </c>
      <c r="C730" s="8" t="n">
        <v>2023</v>
      </c>
      <c r="D730" s="8" t="s">
        <v>83</v>
      </c>
      <c r="E730" s="8" t="s">
        <v>2754</v>
      </c>
      <c r="F730" s="8" t="s">
        <v>782</v>
      </c>
      <c r="G730" s="8" t="s">
        <v>788</v>
      </c>
      <c r="H730" s="8" t="s">
        <v>789</v>
      </c>
    </row>
    <row r="731" customFormat="false" ht="15" hidden="false" customHeight="false" outlineLevel="0" collapsed="false">
      <c r="A731" s="8" t="s">
        <v>592</v>
      </c>
      <c r="B731" s="8" t="s">
        <v>594</v>
      </c>
      <c r="C731" s="8" t="n">
        <v>2019</v>
      </c>
      <c r="D731" s="8" t="s">
        <v>83</v>
      </c>
      <c r="E731" s="8" t="s">
        <v>596</v>
      </c>
      <c r="F731" s="8" t="s">
        <v>852</v>
      </c>
      <c r="G731" s="8" t="s">
        <v>853</v>
      </c>
      <c r="H731" s="8" t="s">
        <v>854</v>
      </c>
    </row>
    <row r="732" customFormat="false" ht="15" hidden="false" customHeight="false" outlineLevel="0" collapsed="false">
      <c r="A732" s="8" t="s">
        <v>2755</v>
      </c>
      <c r="B732" s="8" t="s">
        <v>2756</v>
      </c>
      <c r="C732" s="8" t="n">
        <v>2022</v>
      </c>
      <c r="D732" s="8" t="s">
        <v>83</v>
      </c>
      <c r="E732" s="8"/>
      <c r="F732" s="8" t="s">
        <v>782</v>
      </c>
      <c r="G732" s="8" t="s">
        <v>783</v>
      </c>
      <c r="H732" s="8" t="s">
        <v>784</v>
      </c>
    </row>
    <row r="733" customFormat="false" ht="15" hidden="false" customHeight="false" outlineLevel="0" collapsed="false">
      <c r="A733" s="8" t="s">
        <v>2757</v>
      </c>
      <c r="B733" s="8" t="s">
        <v>2758</v>
      </c>
      <c r="C733" s="8" t="n">
        <v>2020</v>
      </c>
      <c r="D733" s="8" t="s">
        <v>83</v>
      </c>
      <c r="E733" s="8" t="s">
        <v>2759</v>
      </c>
      <c r="F733" s="8" t="s">
        <v>782</v>
      </c>
      <c r="G733" s="8" t="s">
        <v>801</v>
      </c>
      <c r="H733" s="8" t="s">
        <v>802</v>
      </c>
    </row>
    <row r="734" customFormat="false" ht="15" hidden="false" customHeight="false" outlineLevel="0" collapsed="false">
      <c r="A734" s="8" t="s">
        <v>2760</v>
      </c>
      <c r="B734" s="8" t="s">
        <v>2761</v>
      </c>
      <c r="C734" s="8" t="n">
        <v>2021</v>
      </c>
      <c r="D734" s="8" t="s">
        <v>58</v>
      </c>
      <c r="E734" s="8" t="s">
        <v>2762</v>
      </c>
      <c r="F734" s="8" t="s">
        <v>782</v>
      </c>
      <c r="G734" s="8" t="s">
        <v>783</v>
      </c>
      <c r="H734" s="8" t="s">
        <v>784</v>
      </c>
    </row>
    <row r="735" customFormat="false" ht="15" hidden="false" customHeight="false" outlineLevel="0" collapsed="false">
      <c r="A735" s="8" t="s">
        <v>556</v>
      </c>
      <c r="B735" s="8" t="s">
        <v>558</v>
      </c>
      <c r="C735" s="8" t="n">
        <v>2020</v>
      </c>
      <c r="D735" s="8" t="s">
        <v>58</v>
      </c>
      <c r="E735" s="8" t="s">
        <v>560</v>
      </c>
      <c r="F735" s="8" t="s">
        <v>852</v>
      </c>
      <c r="G735" s="8" t="s">
        <v>853</v>
      </c>
      <c r="H735" s="8" t="s">
        <v>854</v>
      </c>
    </row>
    <row r="736" customFormat="false" ht="15" hidden="false" customHeight="false" outlineLevel="0" collapsed="false">
      <c r="A736" s="8" t="s">
        <v>2763</v>
      </c>
      <c r="B736" s="8" t="s">
        <v>2764</v>
      </c>
      <c r="C736" s="8" t="n">
        <v>2020</v>
      </c>
      <c r="D736" s="8" t="s">
        <v>90</v>
      </c>
      <c r="E736" s="8" t="s">
        <v>2765</v>
      </c>
      <c r="F736" s="8" t="s">
        <v>782</v>
      </c>
      <c r="G736" s="8" t="s">
        <v>783</v>
      </c>
      <c r="H736" s="8" t="s">
        <v>784</v>
      </c>
    </row>
    <row r="737" customFormat="false" ht="15" hidden="false" customHeight="false" outlineLevel="0" collapsed="false">
      <c r="A737" s="8" t="s">
        <v>582</v>
      </c>
      <c r="B737" s="8" t="s">
        <v>584</v>
      </c>
      <c r="C737" s="8" t="n">
        <v>2019</v>
      </c>
      <c r="D737" s="8" t="s">
        <v>58</v>
      </c>
      <c r="E737" s="8" t="s">
        <v>586</v>
      </c>
      <c r="F737" s="8" t="s">
        <v>852</v>
      </c>
      <c r="G737" s="8" t="s">
        <v>853</v>
      </c>
      <c r="H737" s="8" t="s">
        <v>854</v>
      </c>
    </row>
    <row r="738" customFormat="false" ht="15" hidden="false" customHeight="false" outlineLevel="0" collapsed="false">
      <c r="A738" s="8" t="s">
        <v>2766</v>
      </c>
      <c r="B738" s="8" t="s">
        <v>2767</v>
      </c>
      <c r="C738" s="8" t="n">
        <v>2019</v>
      </c>
      <c r="D738" s="8" t="s">
        <v>83</v>
      </c>
      <c r="E738" s="8" t="s">
        <v>2768</v>
      </c>
      <c r="F738" s="8" t="s">
        <v>782</v>
      </c>
      <c r="G738" s="8" t="s">
        <v>783</v>
      </c>
      <c r="H738" s="8" t="s">
        <v>784</v>
      </c>
    </row>
    <row r="739" customFormat="false" ht="15" hidden="false" customHeight="false" outlineLevel="0" collapsed="false">
      <c r="A739" s="8" t="s">
        <v>2769</v>
      </c>
      <c r="B739" s="8" t="s">
        <v>2770</v>
      </c>
      <c r="C739" s="8" t="n">
        <v>2023</v>
      </c>
      <c r="D739" s="8" t="s">
        <v>58</v>
      </c>
      <c r="E739" s="8" t="s">
        <v>2771</v>
      </c>
      <c r="F739" s="8" t="s">
        <v>782</v>
      </c>
      <c r="G739" s="8" t="s">
        <v>783</v>
      </c>
      <c r="H739" s="8" t="s">
        <v>861</v>
      </c>
    </row>
    <row r="740" customFormat="false" ht="15" hidden="false" customHeight="false" outlineLevel="0" collapsed="false">
      <c r="A740" s="8" t="s">
        <v>2772</v>
      </c>
      <c r="B740" s="8" t="s">
        <v>2773</v>
      </c>
      <c r="C740" s="8" t="n">
        <v>2020</v>
      </c>
      <c r="D740" s="8" t="s">
        <v>58</v>
      </c>
      <c r="E740" s="8" t="s">
        <v>2774</v>
      </c>
      <c r="F740" s="8" t="s">
        <v>782</v>
      </c>
      <c r="G740" s="8" t="s">
        <v>783</v>
      </c>
      <c r="H740" s="8" t="s">
        <v>784</v>
      </c>
    </row>
    <row r="741" customFormat="false" ht="15" hidden="false" customHeight="false" outlineLevel="0" collapsed="false">
      <c r="A741" s="8" t="s">
        <v>2775</v>
      </c>
      <c r="B741" s="8" t="s">
        <v>2776</v>
      </c>
      <c r="C741" s="8" t="n">
        <v>2019</v>
      </c>
      <c r="D741" s="8" t="s">
        <v>58</v>
      </c>
      <c r="E741" s="8"/>
      <c r="F741" s="8" t="s">
        <v>782</v>
      </c>
      <c r="G741" s="8" t="s">
        <v>783</v>
      </c>
      <c r="H741" s="8" t="s">
        <v>784</v>
      </c>
    </row>
    <row r="742" customFormat="false" ht="15" hidden="false" customHeight="false" outlineLevel="0" collapsed="false">
      <c r="A742" s="8" t="s">
        <v>2777</v>
      </c>
      <c r="B742" s="8" t="s">
        <v>2778</v>
      </c>
      <c r="C742" s="8" t="n">
        <v>2023</v>
      </c>
      <c r="D742" s="8" t="s">
        <v>58</v>
      </c>
      <c r="E742" s="8"/>
      <c r="F742" s="8" t="s">
        <v>782</v>
      </c>
      <c r="G742" s="8" t="s">
        <v>783</v>
      </c>
      <c r="H742" s="8" t="s">
        <v>784</v>
      </c>
    </row>
    <row r="743" customFormat="false" ht="15" hidden="false" customHeight="false" outlineLevel="0" collapsed="false">
      <c r="A743" s="8" t="s">
        <v>2779</v>
      </c>
      <c r="B743" s="8" t="s">
        <v>2780</v>
      </c>
      <c r="C743" s="8" t="n">
        <v>2019</v>
      </c>
      <c r="D743" s="8" t="s">
        <v>58</v>
      </c>
      <c r="E743" s="8" t="s">
        <v>2781</v>
      </c>
      <c r="F743" s="8" t="s">
        <v>782</v>
      </c>
      <c r="G743" s="8" t="s">
        <v>801</v>
      </c>
      <c r="H743" s="8" t="s">
        <v>802</v>
      </c>
    </row>
    <row r="744" customFormat="false" ht="15" hidden="false" customHeight="false" outlineLevel="0" collapsed="false">
      <c r="A744" s="8" t="s">
        <v>2782</v>
      </c>
      <c r="B744" s="8" t="s">
        <v>2783</v>
      </c>
      <c r="C744" s="8" t="n">
        <v>2023</v>
      </c>
      <c r="D744" s="8" t="s">
        <v>58</v>
      </c>
      <c r="E744" s="8" t="s">
        <v>2784</v>
      </c>
      <c r="F744" s="8" t="s">
        <v>782</v>
      </c>
      <c r="G744" s="8" t="s">
        <v>783</v>
      </c>
      <c r="H744" s="8" t="s">
        <v>784</v>
      </c>
    </row>
    <row r="745" customFormat="false" ht="15" hidden="false" customHeight="false" outlineLevel="0" collapsed="false">
      <c r="A745" s="8" t="s">
        <v>2785</v>
      </c>
      <c r="B745" s="8" t="s">
        <v>2786</v>
      </c>
      <c r="C745" s="8" t="n">
        <v>2021</v>
      </c>
      <c r="D745" s="8" t="s">
        <v>83</v>
      </c>
      <c r="E745" s="8" t="s">
        <v>2787</v>
      </c>
      <c r="F745" s="8" t="s">
        <v>782</v>
      </c>
      <c r="G745" s="8" t="s">
        <v>783</v>
      </c>
      <c r="H745" s="8" t="s">
        <v>784</v>
      </c>
    </row>
    <row r="746" customFormat="false" ht="15" hidden="false" customHeight="false" outlineLevel="0" collapsed="false">
      <c r="A746" s="8" t="s">
        <v>2788</v>
      </c>
      <c r="B746" s="8" t="s">
        <v>2789</v>
      </c>
      <c r="C746" s="8" t="n">
        <v>2021</v>
      </c>
      <c r="D746" s="8" t="s">
        <v>58</v>
      </c>
      <c r="E746" s="8" t="s">
        <v>2790</v>
      </c>
      <c r="F746" s="8" t="s">
        <v>782</v>
      </c>
      <c r="G746" s="8" t="s">
        <v>783</v>
      </c>
      <c r="H746" s="8" t="s">
        <v>784</v>
      </c>
    </row>
    <row r="747" customFormat="false" ht="15" hidden="false" customHeight="false" outlineLevel="0" collapsed="false">
      <c r="A747" s="8" t="s">
        <v>2791</v>
      </c>
      <c r="B747" s="8" t="s">
        <v>2792</v>
      </c>
      <c r="C747" s="8" t="n">
        <v>2019</v>
      </c>
      <c r="D747" s="8" t="s">
        <v>58</v>
      </c>
      <c r="E747" s="8" t="s">
        <v>2793</v>
      </c>
      <c r="F747" s="8" t="s">
        <v>782</v>
      </c>
      <c r="G747" s="8" t="s">
        <v>783</v>
      </c>
      <c r="H747" s="8" t="s">
        <v>784</v>
      </c>
    </row>
    <row r="748" customFormat="false" ht="15" hidden="false" customHeight="false" outlineLevel="0" collapsed="false">
      <c r="A748" s="8" t="s">
        <v>2794</v>
      </c>
      <c r="B748" s="8" t="s">
        <v>2795</v>
      </c>
      <c r="C748" s="8" t="n">
        <v>2019</v>
      </c>
      <c r="D748" s="8" t="s">
        <v>58</v>
      </c>
      <c r="E748" s="8" t="s">
        <v>2796</v>
      </c>
      <c r="F748" s="8" t="s">
        <v>782</v>
      </c>
      <c r="G748" s="8" t="s">
        <v>783</v>
      </c>
      <c r="H748" s="8" t="s">
        <v>784</v>
      </c>
    </row>
    <row r="749" customFormat="false" ht="15" hidden="false" customHeight="false" outlineLevel="0" collapsed="false">
      <c r="A749" s="8" t="s">
        <v>2797</v>
      </c>
      <c r="B749" s="8" t="s">
        <v>2798</v>
      </c>
      <c r="C749" s="8" t="n">
        <v>2021</v>
      </c>
      <c r="D749" s="8" t="s">
        <v>83</v>
      </c>
      <c r="E749" s="8" t="s">
        <v>2799</v>
      </c>
      <c r="F749" s="8" t="s">
        <v>782</v>
      </c>
      <c r="G749" s="8" t="s">
        <v>895</v>
      </c>
      <c r="H749" s="8" t="s">
        <v>896</v>
      </c>
    </row>
    <row r="750" customFormat="false" ht="15" hidden="false" customHeight="false" outlineLevel="0" collapsed="false">
      <c r="A750" s="8" t="s">
        <v>2800</v>
      </c>
      <c r="B750" s="8" t="s">
        <v>2801</v>
      </c>
      <c r="C750" s="8" t="n">
        <v>2022</v>
      </c>
      <c r="D750" s="8" t="s">
        <v>58</v>
      </c>
      <c r="E750" s="8" t="s">
        <v>2802</v>
      </c>
      <c r="F750" s="8" t="s">
        <v>782</v>
      </c>
      <c r="G750" s="8" t="s">
        <v>783</v>
      </c>
      <c r="H750" s="8" t="s">
        <v>784</v>
      </c>
    </row>
    <row r="751" customFormat="false" ht="15" hidden="false" customHeight="false" outlineLevel="0" collapsed="false">
      <c r="A751" s="8" t="s">
        <v>2803</v>
      </c>
      <c r="B751" s="8" t="s">
        <v>2804</v>
      </c>
      <c r="C751" s="8" t="n">
        <v>2020</v>
      </c>
      <c r="D751" s="8" t="s">
        <v>58</v>
      </c>
      <c r="E751" s="8" t="s">
        <v>2805</v>
      </c>
      <c r="F751" s="8" t="s">
        <v>782</v>
      </c>
      <c r="G751" s="8" t="s">
        <v>801</v>
      </c>
      <c r="H751" s="8" t="s">
        <v>915</v>
      </c>
    </row>
    <row r="752" customFormat="false" ht="15" hidden="false" customHeight="false" outlineLevel="0" collapsed="false">
      <c r="A752" s="8" t="s">
        <v>2806</v>
      </c>
      <c r="B752" s="8" t="s">
        <v>2807</v>
      </c>
      <c r="C752" s="8" t="n">
        <v>2023</v>
      </c>
      <c r="D752" s="8" t="s">
        <v>58</v>
      </c>
      <c r="E752" s="8" t="s">
        <v>2808</v>
      </c>
      <c r="F752" s="8" t="s">
        <v>782</v>
      </c>
      <c r="G752" s="8" t="s">
        <v>783</v>
      </c>
      <c r="H752" s="8" t="s">
        <v>784</v>
      </c>
    </row>
    <row r="753" customFormat="false" ht="15" hidden="false" customHeight="false" outlineLevel="0" collapsed="false">
      <c r="A753" s="8" t="s">
        <v>2809</v>
      </c>
      <c r="B753" s="8" t="s">
        <v>2810</v>
      </c>
      <c r="C753" s="8" t="n">
        <v>2021</v>
      </c>
      <c r="D753" s="8" t="s">
        <v>58</v>
      </c>
      <c r="E753" s="8" t="s">
        <v>2811</v>
      </c>
      <c r="F753" s="8" t="s">
        <v>782</v>
      </c>
      <c r="G753" s="8" t="s">
        <v>783</v>
      </c>
      <c r="H753" s="8" t="s">
        <v>784</v>
      </c>
    </row>
    <row r="754" customFormat="false" ht="15" hidden="false" customHeight="false" outlineLevel="0" collapsed="false">
      <c r="A754" s="8" t="s">
        <v>385</v>
      </c>
      <c r="B754" s="8" t="s">
        <v>386</v>
      </c>
      <c r="C754" s="8" t="n">
        <v>2023</v>
      </c>
      <c r="D754" s="8" t="s">
        <v>90</v>
      </c>
      <c r="E754" s="8" t="s">
        <v>387</v>
      </c>
      <c r="F754" s="8" t="s">
        <v>852</v>
      </c>
      <c r="G754" s="8" t="s">
        <v>853</v>
      </c>
      <c r="H754" s="8" t="s">
        <v>854</v>
      </c>
    </row>
    <row r="755" customFormat="false" ht="15" hidden="false" customHeight="false" outlineLevel="0" collapsed="false">
      <c r="A755" s="8" t="s">
        <v>2812</v>
      </c>
      <c r="B755" s="8" t="s">
        <v>2813</v>
      </c>
      <c r="C755" s="8" t="n">
        <v>2020</v>
      </c>
      <c r="D755" s="8" t="s">
        <v>58</v>
      </c>
      <c r="E755" s="8" t="s">
        <v>2814</v>
      </c>
      <c r="F755" s="8" t="s">
        <v>782</v>
      </c>
      <c r="G755" s="8" t="s">
        <v>783</v>
      </c>
      <c r="H755" s="8" t="s">
        <v>784</v>
      </c>
    </row>
    <row r="756" customFormat="false" ht="15" hidden="false" customHeight="false" outlineLevel="0" collapsed="false">
      <c r="A756" s="8" t="s">
        <v>2815</v>
      </c>
      <c r="B756" s="8" t="s">
        <v>2816</v>
      </c>
      <c r="C756" s="8" t="n">
        <v>2019</v>
      </c>
      <c r="D756" s="8" t="s">
        <v>58</v>
      </c>
      <c r="E756" s="8" t="s">
        <v>2817</v>
      </c>
      <c r="F756" s="8" t="s">
        <v>782</v>
      </c>
      <c r="G756" s="8" t="s">
        <v>783</v>
      </c>
      <c r="H756" s="8" t="s">
        <v>784</v>
      </c>
    </row>
    <row r="757" customFormat="false" ht="15" hidden="false" customHeight="false" outlineLevel="0" collapsed="false">
      <c r="A757" s="8" t="s">
        <v>2818</v>
      </c>
      <c r="B757" s="8" t="s">
        <v>2819</v>
      </c>
      <c r="C757" s="8" t="n">
        <v>2023</v>
      </c>
      <c r="D757" s="8" t="s">
        <v>58</v>
      </c>
      <c r="E757" s="8" t="s">
        <v>2820</v>
      </c>
      <c r="F757" s="8" t="s">
        <v>782</v>
      </c>
      <c r="G757" s="8" t="s">
        <v>783</v>
      </c>
      <c r="H757" s="8" t="s">
        <v>784</v>
      </c>
    </row>
    <row r="758" customFormat="false" ht="15" hidden="false" customHeight="false" outlineLevel="0" collapsed="false">
      <c r="A758" s="8" t="s">
        <v>362</v>
      </c>
      <c r="B758" s="8" t="s">
        <v>364</v>
      </c>
      <c r="C758" s="8" t="n">
        <v>2023</v>
      </c>
      <c r="D758" s="8" t="s">
        <v>58</v>
      </c>
      <c r="E758" s="8" t="s">
        <v>366</v>
      </c>
      <c r="F758" s="8" t="s">
        <v>852</v>
      </c>
      <c r="G758" s="8" t="s">
        <v>853</v>
      </c>
      <c r="H758" s="8" t="s">
        <v>854</v>
      </c>
    </row>
    <row r="759" customFormat="false" ht="15" hidden="false" customHeight="false" outlineLevel="0" collapsed="false">
      <c r="A759" s="8" t="s">
        <v>2821</v>
      </c>
      <c r="B759" s="8" t="s">
        <v>2822</v>
      </c>
      <c r="C759" s="8" t="n">
        <v>2022</v>
      </c>
      <c r="D759" s="8" t="s">
        <v>58</v>
      </c>
      <c r="E759" s="8" t="s">
        <v>2823</v>
      </c>
      <c r="F759" s="8" t="s">
        <v>782</v>
      </c>
      <c r="G759" s="8" t="s">
        <v>783</v>
      </c>
      <c r="H759" s="8" t="s">
        <v>784</v>
      </c>
    </row>
    <row r="760" customFormat="false" ht="15" hidden="false" customHeight="false" outlineLevel="0" collapsed="false">
      <c r="A760" s="8" t="s">
        <v>2824</v>
      </c>
      <c r="B760" s="8" t="s">
        <v>2825</v>
      </c>
      <c r="C760" s="8" t="n">
        <v>2020</v>
      </c>
      <c r="D760" s="8" t="s">
        <v>58</v>
      </c>
      <c r="E760" s="8" t="s">
        <v>2826</v>
      </c>
      <c r="F760" s="8" t="s">
        <v>782</v>
      </c>
      <c r="G760" s="8" t="s">
        <v>783</v>
      </c>
      <c r="H760" s="8" t="s">
        <v>784</v>
      </c>
    </row>
    <row r="761" customFormat="false" ht="15" hidden="false" customHeight="false" outlineLevel="0" collapsed="false">
      <c r="A761" s="8" t="s">
        <v>2827</v>
      </c>
      <c r="B761" s="8" t="s">
        <v>2828</v>
      </c>
      <c r="C761" s="8" t="n">
        <v>2023</v>
      </c>
      <c r="D761" s="8" t="s">
        <v>58</v>
      </c>
      <c r="E761" s="8" t="s">
        <v>2829</v>
      </c>
      <c r="F761" s="8" t="s">
        <v>782</v>
      </c>
      <c r="G761" s="8" t="s">
        <v>783</v>
      </c>
      <c r="H761" s="8" t="s">
        <v>784</v>
      </c>
    </row>
    <row r="762" customFormat="false" ht="15" hidden="false" customHeight="false" outlineLevel="0" collapsed="false">
      <c r="A762" s="8" t="s">
        <v>2830</v>
      </c>
      <c r="B762" s="8" t="s">
        <v>2831</v>
      </c>
      <c r="C762" s="8" t="n">
        <v>2021</v>
      </c>
      <c r="D762" s="8" t="s">
        <v>58</v>
      </c>
      <c r="E762" s="8" t="s">
        <v>2832</v>
      </c>
      <c r="F762" s="8" t="s">
        <v>782</v>
      </c>
      <c r="G762" s="8" t="s">
        <v>783</v>
      </c>
      <c r="H762" s="8" t="s">
        <v>784</v>
      </c>
    </row>
    <row r="763" customFormat="false" ht="15" hidden="false" customHeight="false" outlineLevel="0" collapsed="false">
      <c r="A763" s="8" t="s">
        <v>2833</v>
      </c>
      <c r="B763" s="8" t="s">
        <v>2834</v>
      </c>
      <c r="C763" s="8" t="n">
        <v>2020</v>
      </c>
      <c r="D763" s="8" t="s">
        <v>58</v>
      </c>
      <c r="E763" s="8" t="s">
        <v>2835</v>
      </c>
      <c r="F763" s="8" t="s">
        <v>782</v>
      </c>
      <c r="G763" s="8" t="s">
        <v>801</v>
      </c>
      <c r="H763" s="8" t="s">
        <v>915</v>
      </c>
    </row>
    <row r="764" customFormat="false" ht="15" hidden="false" customHeight="false" outlineLevel="0" collapsed="false">
      <c r="A764" s="8" t="s">
        <v>2836</v>
      </c>
      <c r="B764" s="8" t="s">
        <v>2837</v>
      </c>
      <c r="C764" s="8" t="n">
        <v>2020</v>
      </c>
      <c r="D764" s="8" t="s">
        <v>58</v>
      </c>
      <c r="E764" s="8" t="s">
        <v>2838</v>
      </c>
      <c r="F764" s="8" t="s">
        <v>782</v>
      </c>
      <c r="G764" s="8" t="s">
        <v>783</v>
      </c>
      <c r="H764" s="8" t="s">
        <v>861</v>
      </c>
    </row>
    <row r="765" customFormat="false" ht="15" hidden="false" customHeight="false" outlineLevel="0" collapsed="false">
      <c r="A765" s="8" t="s">
        <v>2839</v>
      </c>
      <c r="B765" s="8" t="s">
        <v>2840</v>
      </c>
      <c r="C765" s="8" t="n">
        <v>2020</v>
      </c>
      <c r="D765" s="8" t="s">
        <v>83</v>
      </c>
      <c r="E765" s="8" t="s">
        <v>2841</v>
      </c>
      <c r="F765" s="8" t="s">
        <v>782</v>
      </c>
      <c r="G765" s="8" t="s">
        <v>783</v>
      </c>
      <c r="H765" s="8" t="s">
        <v>784</v>
      </c>
    </row>
    <row r="766" customFormat="false" ht="15" hidden="false" customHeight="false" outlineLevel="0" collapsed="false">
      <c r="A766" s="8" t="s">
        <v>2842</v>
      </c>
      <c r="B766" s="8" t="s">
        <v>2843</v>
      </c>
      <c r="C766" s="8" t="n">
        <v>2020</v>
      </c>
      <c r="D766" s="8" t="s">
        <v>58</v>
      </c>
      <c r="E766" s="8" t="s">
        <v>2844</v>
      </c>
      <c r="F766" s="8" t="s">
        <v>782</v>
      </c>
      <c r="G766" s="8" t="s">
        <v>801</v>
      </c>
      <c r="H766" s="8" t="s">
        <v>802</v>
      </c>
    </row>
    <row r="767" customFormat="false" ht="15" hidden="false" customHeight="false" outlineLevel="0" collapsed="false">
      <c r="A767" s="8" t="s">
        <v>2845</v>
      </c>
      <c r="B767" s="8" t="s">
        <v>2846</v>
      </c>
      <c r="C767" s="8" t="n">
        <v>2020</v>
      </c>
      <c r="D767" s="8" t="s">
        <v>58</v>
      </c>
      <c r="E767" s="8" t="s">
        <v>2847</v>
      </c>
      <c r="F767" s="8" t="s">
        <v>782</v>
      </c>
      <c r="G767" s="8" t="s">
        <v>783</v>
      </c>
      <c r="H767" s="8" t="s">
        <v>784</v>
      </c>
    </row>
    <row r="768" customFormat="false" ht="15" hidden="false" customHeight="false" outlineLevel="0" collapsed="false">
      <c r="A768" s="8" t="s">
        <v>351</v>
      </c>
      <c r="B768" s="8" t="s">
        <v>353</v>
      </c>
      <c r="C768" s="8" t="n">
        <v>2023</v>
      </c>
      <c r="D768" s="8" t="s">
        <v>58</v>
      </c>
      <c r="E768" s="8" t="s">
        <v>354</v>
      </c>
      <c r="F768" s="8" t="s">
        <v>852</v>
      </c>
      <c r="G768" s="8" t="s">
        <v>853</v>
      </c>
      <c r="H768" s="8" t="s">
        <v>854</v>
      </c>
    </row>
    <row r="769" customFormat="false" ht="15" hidden="false" customHeight="false" outlineLevel="0" collapsed="false">
      <c r="A769" s="8" t="s">
        <v>2848</v>
      </c>
      <c r="B769" s="8" t="s">
        <v>2849</v>
      </c>
      <c r="C769" s="8" t="n">
        <v>2021</v>
      </c>
      <c r="D769" s="8" t="s">
        <v>83</v>
      </c>
      <c r="E769" s="8" t="s">
        <v>2850</v>
      </c>
      <c r="F769" s="8" t="s">
        <v>782</v>
      </c>
      <c r="G769" s="8" t="s">
        <v>783</v>
      </c>
      <c r="H769" s="8" t="s">
        <v>784</v>
      </c>
    </row>
    <row r="770" customFormat="false" ht="15" hidden="false" customHeight="false" outlineLevel="0" collapsed="false">
      <c r="A770" s="8" t="s">
        <v>2851</v>
      </c>
      <c r="B770" s="8" t="s">
        <v>2852</v>
      </c>
      <c r="C770" s="8" t="n">
        <v>2019</v>
      </c>
      <c r="D770" s="8" t="s">
        <v>58</v>
      </c>
      <c r="E770" s="8" t="s">
        <v>2853</v>
      </c>
      <c r="F770" s="8" t="s">
        <v>782</v>
      </c>
      <c r="G770" s="8" t="s">
        <v>783</v>
      </c>
      <c r="H770" s="8" t="s">
        <v>784</v>
      </c>
    </row>
    <row r="771" customFormat="false" ht="15" hidden="false" customHeight="false" outlineLevel="0" collapsed="false">
      <c r="A771" s="8" t="s">
        <v>2854</v>
      </c>
      <c r="B771" s="8" t="s">
        <v>2855</v>
      </c>
      <c r="C771" s="8" t="n">
        <v>2019</v>
      </c>
      <c r="D771" s="8" t="s">
        <v>58</v>
      </c>
      <c r="E771" s="8" t="s">
        <v>2856</v>
      </c>
      <c r="F771" s="8" t="s">
        <v>782</v>
      </c>
      <c r="G771" s="8" t="s">
        <v>783</v>
      </c>
      <c r="H771" s="8" t="s">
        <v>784</v>
      </c>
    </row>
    <row r="772" customFormat="false" ht="15" hidden="false" customHeight="false" outlineLevel="0" collapsed="false">
      <c r="A772" s="8" t="s">
        <v>446</v>
      </c>
      <c r="B772" s="8" t="s">
        <v>448</v>
      </c>
      <c r="C772" s="8" t="n">
        <v>2022</v>
      </c>
      <c r="D772" s="8" t="s">
        <v>83</v>
      </c>
      <c r="E772" s="8" t="s">
        <v>450</v>
      </c>
      <c r="F772" s="8" t="s">
        <v>852</v>
      </c>
      <c r="G772" s="8" t="s">
        <v>853</v>
      </c>
      <c r="H772" s="8" t="s">
        <v>854</v>
      </c>
    </row>
    <row r="773" customFormat="false" ht="15" hidden="false" customHeight="false" outlineLevel="0" collapsed="false">
      <c r="A773" s="8" t="s">
        <v>2857</v>
      </c>
      <c r="B773" s="8" t="s">
        <v>2858</v>
      </c>
      <c r="C773" s="8" t="n">
        <v>2021</v>
      </c>
      <c r="D773" s="8" t="s">
        <v>58</v>
      </c>
      <c r="E773" s="8" t="s">
        <v>2859</v>
      </c>
      <c r="F773" s="8" t="s">
        <v>782</v>
      </c>
      <c r="G773" s="8" t="s">
        <v>783</v>
      </c>
      <c r="H773" s="8" t="s">
        <v>784</v>
      </c>
    </row>
    <row r="774" customFormat="false" ht="15" hidden="false" customHeight="false" outlineLevel="0" collapsed="false">
      <c r="A774" s="8" t="s">
        <v>2860</v>
      </c>
      <c r="B774" s="8" t="s">
        <v>2861</v>
      </c>
      <c r="C774" s="8" t="n">
        <v>2020</v>
      </c>
      <c r="D774" s="8" t="s">
        <v>58</v>
      </c>
      <c r="E774" s="8" t="s">
        <v>2862</v>
      </c>
      <c r="F774" s="8" t="s">
        <v>782</v>
      </c>
      <c r="G774" s="8" t="s">
        <v>783</v>
      </c>
      <c r="H774" s="8" t="s">
        <v>784</v>
      </c>
    </row>
    <row r="775" customFormat="false" ht="15" hidden="false" customHeight="false" outlineLevel="0" collapsed="false">
      <c r="A775" s="8" t="s">
        <v>2863</v>
      </c>
      <c r="B775" s="8" t="s">
        <v>2864</v>
      </c>
      <c r="C775" s="8" t="n">
        <v>2023</v>
      </c>
      <c r="D775" s="8" t="s">
        <v>58</v>
      </c>
      <c r="E775" s="8" t="s">
        <v>2865</v>
      </c>
      <c r="F775" s="8" t="s">
        <v>782</v>
      </c>
      <c r="G775" s="8" t="s">
        <v>783</v>
      </c>
      <c r="H775" s="8" t="s">
        <v>784</v>
      </c>
    </row>
    <row r="776" customFormat="false" ht="15" hidden="false" customHeight="false" outlineLevel="0" collapsed="false">
      <c r="A776" s="8" t="s">
        <v>2866</v>
      </c>
      <c r="B776" s="8" t="s">
        <v>2867</v>
      </c>
      <c r="C776" s="8" t="n">
        <v>2021</v>
      </c>
      <c r="D776" s="8" t="s">
        <v>58</v>
      </c>
      <c r="E776" s="8" t="s">
        <v>2868</v>
      </c>
      <c r="F776" s="8" t="s">
        <v>782</v>
      </c>
      <c r="G776" s="8" t="s">
        <v>783</v>
      </c>
      <c r="H776" s="8" t="s">
        <v>784</v>
      </c>
    </row>
    <row r="777" customFormat="false" ht="15" hidden="false" customHeight="false" outlineLevel="0" collapsed="false">
      <c r="A777" s="8" t="s">
        <v>2869</v>
      </c>
      <c r="B777" s="8" t="s">
        <v>2870</v>
      </c>
      <c r="C777" s="8" t="n">
        <v>2022</v>
      </c>
      <c r="D777" s="8" t="s">
        <v>83</v>
      </c>
      <c r="E777" s="8" t="s">
        <v>2871</v>
      </c>
      <c r="F777" s="8" t="s">
        <v>782</v>
      </c>
      <c r="G777" s="8" t="s">
        <v>783</v>
      </c>
      <c r="H777" s="8" t="s">
        <v>784</v>
      </c>
    </row>
    <row r="778" customFormat="false" ht="15" hidden="false" customHeight="false" outlineLevel="0" collapsed="false">
      <c r="A778" s="8" t="s">
        <v>2872</v>
      </c>
      <c r="B778" s="8" t="s">
        <v>2873</v>
      </c>
      <c r="C778" s="8" t="n">
        <v>2020</v>
      </c>
      <c r="D778" s="8" t="s">
        <v>58</v>
      </c>
      <c r="E778" s="8" t="s">
        <v>2874</v>
      </c>
      <c r="F778" s="8" t="s">
        <v>782</v>
      </c>
      <c r="G778" s="8" t="s">
        <v>801</v>
      </c>
      <c r="H778" s="8" t="s">
        <v>915</v>
      </c>
    </row>
    <row r="779" customFormat="false" ht="15" hidden="false" customHeight="false" outlineLevel="0" collapsed="false">
      <c r="A779" s="8" t="s">
        <v>2875</v>
      </c>
      <c r="B779" s="8" t="s">
        <v>2876</v>
      </c>
      <c r="C779" s="8" t="n">
        <v>2020</v>
      </c>
      <c r="D779" s="8" t="s">
        <v>58</v>
      </c>
      <c r="E779" s="8" t="s">
        <v>2877</v>
      </c>
      <c r="F779" s="8" t="s">
        <v>782</v>
      </c>
      <c r="G779" s="8" t="s">
        <v>895</v>
      </c>
      <c r="H779" s="8" t="s">
        <v>896</v>
      </c>
    </row>
    <row r="780" customFormat="false" ht="15" hidden="false" customHeight="false" outlineLevel="0" collapsed="false">
      <c r="A780" s="8" t="s">
        <v>2878</v>
      </c>
      <c r="B780" s="8" t="s">
        <v>2879</v>
      </c>
      <c r="C780" s="8" t="n">
        <v>2023</v>
      </c>
      <c r="D780" s="8" t="s">
        <v>90</v>
      </c>
      <c r="E780" s="8" t="s">
        <v>2880</v>
      </c>
      <c r="F780" s="8" t="s">
        <v>782</v>
      </c>
      <c r="G780" s="8" t="s">
        <v>783</v>
      </c>
      <c r="H780" s="8" t="s">
        <v>784</v>
      </c>
    </row>
    <row r="781" customFormat="false" ht="15" hidden="false" customHeight="false" outlineLevel="0" collapsed="false">
      <c r="A781" s="8" t="s">
        <v>2881</v>
      </c>
      <c r="B781" s="8" t="s">
        <v>2882</v>
      </c>
      <c r="C781" s="8" t="n">
        <v>2020</v>
      </c>
      <c r="D781" s="8" t="s">
        <v>58</v>
      </c>
      <c r="E781" s="8" t="s">
        <v>2883</v>
      </c>
      <c r="F781" s="8" t="s">
        <v>782</v>
      </c>
      <c r="G781" s="8" t="s">
        <v>783</v>
      </c>
      <c r="H781" s="8" t="s">
        <v>784</v>
      </c>
    </row>
    <row r="782" customFormat="false" ht="15" hidden="false" customHeight="false" outlineLevel="0" collapsed="false">
      <c r="A782" s="8" t="s">
        <v>2884</v>
      </c>
      <c r="B782" s="8" t="s">
        <v>2885</v>
      </c>
      <c r="C782" s="8" t="n">
        <v>2021</v>
      </c>
      <c r="D782" s="8" t="s">
        <v>58</v>
      </c>
      <c r="E782" s="8" t="s">
        <v>2886</v>
      </c>
      <c r="F782" s="8" t="s">
        <v>782</v>
      </c>
      <c r="G782" s="8" t="s">
        <v>783</v>
      </c>
      <c r="H782" s="8" t="s">
        <v>784</v>
      </c>
    </row>
    <row r="783" customFormat="false" ht="15" hidden="false" customHeight="false" outlineLevel="0" collapsed="false">
      <c r="A783" s="8" t="s">
        <v>2887</v>
      </c>
      <c r="B783" s="8" t="s">
        <v>2888</v>
      </c>
      <c r="C783" s="8" t="n">
        <v>2022</v>
      </c>
      <c r="D783" s="8" t="s">
        <v>58</v>
      </c>
      <c r="E783" s="8" t="s">
        <v>2889</v>
      </c>
      <c r="F783" s="8" t="s">
        <v>782</v>
      </c>
      <c r="G783" s="8" t="s">
        <v>783</v>
      </c>
      <c r="H783" s="8" t="s">
        <v>861</v>
      </c>
    </row>
    <row r="784" customFormat="false" ht="15" hidden="false" customHeight="false" outlineLevel="0" collapsed="false">
      <c r="A784" s="8" t="s">
        <v>2890</v>
      </c>
      <c r="B784" s="8" t="s">
        <v>2891</v>
      </c>
      <c r="C784" s="8" t="n">
        <v>2021</v>
      </c>
      <c r="D784" s="8" t="s">
        <v>58</v>
      </c>
      <c r="E784" s="8" t="s">
        <v>2892</v>
      </c>
      <c r="F784" s="8" t="s">
        <v>782</v>
      </c>
      <c r="G784" s="8" t="s">
        <v>783</v>
      </c>
      <c r="H784" s="8" t="s">
        <v>784</v>
      </c>
    </row>
    <row r="785" customFormat="false" ht="15" hidden="false" customHeight="false" outlineLevel="0" collapsed="false">
      <c r="A785" s="8" t="s">
        <v>2893</v>
      </c>
      <c r="B785" s="8" t="s">
        <v>2894</v>
      </c>
      <c r="C785" s="8" t="n">
        <v>2021</v>
      </c>
      <c r="D785" s="8" t="s">
        <v>58</v>
      </c>
      <c r="E785" s="8" t="s">
        <v>2895</v>
      </c>
      <c r="F785" s="8" t="s">
        <v>782</v>
      </c>
      <c r="G785" s="8" t="s">
        <v>783</v>
      </c>
      <c r="H785" s="8" t="s">
        <v>784</v>
      </c>
    </row>
    <row r="786" customFormat="false" ht="15" hidden="false" customHeight="false" outlineLevel="0" collapsed="false">
      <c r="A786" s="8" t="s">
        <v>2896</v>
      </c>
      <c r="B786" s="8" t="s">
        <v>2897</v>
      </c>
      <c r="C786" s="8" t="n">
        <v>2019</v>
      </c>
      <c r="D786" s="8" t="s">
        <v>58</v>
      </c>
      <c r="E786" s="8" t="s">
        <v>2898</v>
      </c>
      <c r="F786" s="8" t="s">
        <v>782</v>
      </c>
      <c r="G786" s="8" t="s">
        <v>783</v>
      </c>
      <c r="H786" s="8" t="s">
        <v>784</v>
      </c>
    </row>
    <row r="787" customFormat="false" ht="15" hidden="false" customHeight="false" outlineLevel="0" collapsed="false">
      <c r="A787" s="8" t="s">
        <v>2899</v>
      </c>
      <c r="B787" s="8" t="s">
        <v>2900</v>
      </c>
      <c r="C787" s="8" t="n">
        <v>2023</v>
      </c>
      <c r="D787" s="8" t="s">
        <v>58</v>
      </c>
      <c r="E787" s="8"/>
      <c r="F787" s="8" t="s">
        <v>782</v>
      </c>
      <c r="G787" s="8" t="s">
        <v>783</v>
      </c>
      <c r="H787" s="8" t="s">
        <v>784</v>
      </c>
    </row>
    <row r="788" customFormat="false" ht="15" hidden="false" customHeight="false" outlineLevel="0" collapsed="false">
      <c r="A788" s="8" t="s">
        <v>2901</v>
      </c>
      <c r="B788" s="8" t="s">
        <v>2902</v>
      </c>
      <c r="C788" s="8" t="n">
        <v>2019</v>
      </c>
      <c r="D788" s="8" t="s">
        <v>58</v>
      </c>
      <c r="E788" s="8" t="s">
        <v>2903</v>
      </c>
      <c r="F788" s="8" t="s">
        <v>782</v>
      </c>
      <c r="G788" s="8" t="s">
        <v>783</v>
      </c>
      <c r="H788" s="8" t="s">
        <v>784</v>
      </c>
    </row>
    <row r="789" customFormat="false" ht="15" hidden="false" customHeight="false" outlineLevel="0" collapsed="false">
      <c r="A789" s="8" t="s">
        <v>2904</v>
      </c>
      <c r="B789" s="8" t="s">
        <v>2905</v>
      </c>
      <c r="C789" s="8" t="n">
        <v>2023</v>
      </c>
      <c r="D789" s="8" t="s">
        <v>83</v>
      </c>
      <c r="E789" s="8" t="s">
        <v>2906</v>
      </c>
      <c r="F789" s="8" t="s">
        <v>782</v>
      </c>
      <c r="G789" s="8" t="s">
        <v>783</v>
      </c>
      <c r="H789" s="8" t="s">
        <v>784</v>
      </c>
    </row>
    <row r="790" customFormat="false" ht="15" hidden="false" customHeight="false" outlineLevel="0" collapsed="false">
      <c r="A790" s="8" t="s">
        <v>2907</v>
      </c>
      <c r="B790" s="8" t="s">
        <v>2908</v>
      </c>
      <c r="C790" s="8" t="n">
        <v>2021</v>
      </c>
      <c r="D790" s="8" t="s">
        <v>58</v>
      </c>
      <c r="E790" s="8" t="s">
        <v>2909</v>
      </c>
      <c r="F790" s="8" t="s">
        <v>782</v>
      </c>
      <c r="G790" s="8" t="s">
        <v>783</v>
      </c>
      <c r="H790" s="8" t="s">
        <v>784</v>
      </c>
    </row>
    <row r="791" customFormat="false" ht="15" hidden="false" customHeight="false" outlineLevel="0" collapsed="false">
      <c r="A791" s="8" t="s">
        <v>2910</v>
      </c>
      <c r="B791" s="8" t="s">
        <v>2911</v>
      </c>
      <c r="C791" s="8" t="n">
        <v>2021</v>
      </c>
      <c r="D791" s="8" t="s">
        <v>58</v>
      </c>
      <c r="E791" s="8" t="s">
        <v>2912</v>
      </c>
      <c r="F791" s="8" t="s">
        <v>782</v>
      </c>
      <c r="G791" s="8" t="s">
        <v>783</v>
      </c>
      <c r="H791" s="8" t="s">
        <v>784</v>
      </c>
    </row>
    <row r="792" customFormat="false" ht="15" hidden="false" customHeight="false" outlineLevel="0" collapsed="false">
      <c r="A792" s="8" t="s">
        <v>2913</v>
      </c>
      <c r="B792" s="8" t="s">
        <v>2914</v>
      </c>
      <c r="C792" s="8" t="n">
        <v>2021</v>
      </c>
      <c r="D792" s="8" t="s">
        <v>970</v>
      </c>
      <c r="E792" s="8"/>
      <c r="F792" s="8" t="s">
        <v>782</v>
      </c>
      <c r="G792" s="8" t="s">
        <v>972</v>
      </c>
      <c r="H792" s="8" t="s">
        <v>973</v>
      </c>
    </row>
    <row r="793" customFormat="false" ht="15" hidden="false" customHeight="false" outlineLevel="0" collapsed="false">
      <c r="A793" s="8" t="s">
        <v>2915</v>
      </c>
      <c r="B793" s="8" t="s">
        <v>2916</v>
      </c>
      <c r="C793" s="8" t="n">
        <v>2023</v>
      </c>
      <c r="D793" s="8" t="s">
        <v>58</v>
      </c>
      <c r="E793" s="8" t="s">
        <v>2917</v>
      </c>
      <c r="F793" s="8" t="s">
        <v>782</v>
      </c>
      <c r="G793" s="8" t="s">
        <v>783</v>
      </c>
      <c r="H793" s="8" t="s">
        <v>784</v>
      </c>
    </row>
    <row r="794" customFormat="false" ht="15" hidden="false" customHeight="false" outlineLevel="0" collapsed="false">
      <c r="A794" s="8" t="s">
        <v>2918</v>
      </c>
      <c r="B794" s="8" t="s">
        <v>2919</v>
      </c>
      <c r="C794" s="8" t="n">
        <v>2020</v>
      </c>
      <c r="D794" s="8" t="s">
        <v>58</v>
      </c>
      <c r="E794" s="8" t="s">
        <v>2920</v>
      </c>
      <c r="F794" s="8" t="s">
        <v>782</v>
      </c>
      <c r="G794" s="8" t="s">
        <v>783</v>
      </c>
      <c r="H794" s="8" t="s">
        <v>784</v>
      </c>
    </row>
    <row r="795" customFormat="false" ht="15" hidden="false" customHeight="false" outlineLevel="0" collapsed="false">
      <c r="A795" s="8" t="s">
        <v>2921</v>
      </c>
      <c r="B795" s="8" t="s">
        <v>2922</v>
      </c>
      <c r="C795" s="8" t="n">
        <v>2021</v>
      </c>
      <c r="D795" s="8" t="s">
        <v>58</v>
      </c>
      <c r="E795" s="8" t="s">
        <v>2923</v>
      </c>
      <c r="F795" s="8" t="s">
        <v>782</v>
      </c>
      <c r="G795" s="8" t="s">
        <v>783</v>
      </c>
      <c r="H795" s="8" t="s">
        <v>784</v>
      </c>
    </row>
    <row r="796" customFormat="false" ht="15" hidden="false" customHeight="false" outlineLevel="0" collapsed="false">
      <c r="A796" s="8" t="s">
        <v>2924</v>
      </c>
      <c r="B796" s="8" t="s">
        <v>2925</v>
      </c>
      <c r="C796" s="8" t="n">
        <v>2019</v>
      </c>
      <c r="D796" s="8" t="s">
        <v>58</v>
      </c>
      <c r="E796" s="8" t="s">
        <v>2926</v>
      </c>
      <c r="F796" s="8" t="s">
        <v>782</v>
      </c>
      <c r="G796" s="8" t="s">
        <v>783</v>
      </c>
      <c r="H796" s="8" t="s">
        <v>784</v>
      </c>
    </row>
    <row r="797" customFormat="false" ht="15" hidden="false" customHeight="false" outlineLevel="0" collapsed="false">
      <c r="A797" s="8" t="s">
        <v>606</v>
      </c>
      <c r="B797" s="8" t="s">
        <v>608</v>
      </c>
      <c r="C797" s="8" t="n">
        <v>2019</v>
      </c>
      <c r="D797" s="8" t="s">
        <v>58</v>
      </c>
      <c r="E797" s="8" t="s">
        <v>609</v>
      </c>
      <c r="F797" s="8" t="s">
        <v>852</v>
      </c>
      <c r="G797" s="8" t="s">
        <v>853</v>
      </c>
      <c r="H797" s="8" t="s">
        <v>854</v>
      </c>
    </row>
    <row r="798" customFormat="false" ht="15" hidden="false" customHeight="false" outlineLevel="0" collapsed="false">
      <c r="A798" s="8" t="s">
        <v>2927</v>
      </c>
      <c r="B798" s="8" t="s">
        <v>2928</v>
      </c>
      <c r="C798" s="8" t="n">
        <v>2020</v>
      </c>
      <c r="D798" s="8" t="s">
        <v>58</v>
      </c>
      <c r="E798" s="8" t="s">
        <v>2929</v>
      </c>
      <c r="F798" s="8" t="s">
        <v>782</v>
      </c>
      <c r="G798" s="8" t="s">
        <v>801</v>
      </c>
      <c r="H798" s="8" t="s">
        <v>915</v>
      </c>
    </row>
    <row r="799" customFormat="false" ht="15" hidden="false" customHeight="false" outlineLevel="0" collapsed="false">
      <c r="A799" s="8" t="s">
        <v>2930</v>
      </c>
      <c r="B799" s="8" t="s">
        <v>2931</v>
      </c>
      <c r="C799" s="8" t="n">
        <v>2020</v>
      </c>
      <c r="D799" s="8" t="s">
        <v>58</v>
      </c>
      <c r="E799" s="8" t="s">
        <v>2932</v>
      </c>
      <c r="F799" s="8" t="s">
        <v>782</v>
      </c>
      <c r="G799" s="8" t="s">
        <v>801</v>
      </c>
      <c r="H799" s="8" t="s">
        <v>802</v>
      </c>
    </row>
    <row r="800" customFormat="false" ht="15" hidden="false" customHeight="false" outlineLevel="0" collapsed="false">
      <c r="A800" s="8" t="s">
        <v>551</v>
      </c>
      <c r="B800" s="8" t="s">
        <v>552</v>
      </c>
      <c r="C800" s="8" t="n">
        <v>2020</v>
      </c>
      <c r="D800" s="8" t="s">
        <v>58</v>
      </c>
      <c r="E800" s="8" t="s">
        <v>554</v>
      </c>
      <c r="F800" s="8" t="s">
        <v>852</v>
      </c>
      <c r="G800" s="8" t="s">
        <v>853</v>
      </c>
      <c r="H800" s="8" t="s">
        <v>854</v>
      </c>
    </row>
    <row r="801" customFormat="false" ht="15" hidden="false" customHeight="false" outlineLevel="0" collapsed="false">
      <c r="A801" s="8" t="s">
        <v>2933</v>
      </c>
      <c r="B801" s="8" t="s">
        <v>2934</v>
      </c>
      <c r="C801" s="8" t="n">
        <v>2023</v>
      </c>
      <c r="D801" s="8" t="s">
        <v>58</v>
      </c>
      <c r="E801" s="8" t="s">
        <v>2935</v>
      </c>
      <c r="F801" s="8" t="s">
        <v>782</v>
      </c>
      <c r="G801" s="8" t="s">
        <v>783</v>
      </c>
      <c r="H801" s="8" t="s">
        <v>861</v>
      </c>
    </row>
    <row r="802" customFormat="false" ht="15" hidden="false" customHeight="false" outlineLevel="0" collapsed="false">
      <c r="A802" s="8" t="s">
        <v>2936</v>
      </c>
      <c r="B802" s="8" t="s">
        <v>2937</v>
      </c>
      <c r="C802" s="8" t="n">
        <v>2023</v>
      </c>
      <c r="D802" s="8" t="s">
        <v>83</v>
      </c>
      <c r="E802" s="8" t="s">
        <v>2938</v>
      </c>
      <c r="F802" s="8" t="s">
        <v>782</v>
      </c>
      <c r="G802" s="8" t="s">
        <v>783</v>
      </c>
      <c r="H802" s="8" t="s">
        <v>784</v>
      </c>
    </row>
    <row r="803" customFormat="false" ht="15" hidden="false" customHeight="false" outlineLevel="0" collapsed="false">
      <c r="A803" s="8" t="s">
        <v>2939</v>
      </c>
      <c r="B803" s="8" t="s">
        <v>2940</v>
      </c>
      <c r="C803" s="8" t="n">
        <v>2021</v>
      </c>
      <c r="D803" s="8" t="s">
        <v>83</v>
      </c>
      <c r="E803" s="8" t="s">
        <v>2941</v>
      </c>
      <c r="F803" s="8" t="s">
        <v>782</v>
      </c>
      <c r="G803" s="8" t="s">
        <v>783</v>
      </c>
      <c r="H803" s="8" t="s">
        <v>784</v>
      </c>
    </row>
    <row r="804" customFormat="false" ht="15" hidden="false" customHeight="false" outlineLevel="0" collapsed="false">
      <c r="A804" s="8" t="s">
        <v>411</v>
      </c>
      <c r="B804" s="8" t="s">
        <v>413</v>
      </c>
      <c r="C804" s="8" t="n">
        <v>2022</v>
      </c>
      <c r="D804" s="8" t="s">
        <v>58</v>
      </c>
      <c r="E804" s="8" t="s">
        <v>415</v>
      </c>
      <c r="F804" s="8" t="s">
        <v>852</v>
      </c>
      <c r="G804" s="8" t="s">
        <v>853</v>
      </c>
      <c r="H804" s="8" t="s">
        <v>854</v>
      </c>
    </row>
    <row r="805" customFormat="false" ht="15" hidden="false" customHeight="false" outlineLevel="0" collapsed="false">
      <c r="A805" s="8" t="s">
        <v>2942</v>
      </c>
      <c r="B805" s="8" t="s">
        <v>2943</v>
      </c>
      <c r="C805" s="8" t="n">
        <v>2020</v>
      </c>
      <c r="D805" s="8" t="s">
        <v>58</v>
      </c>
      <c r="E805" s="8" t="s">
        <v>2944</v>
      </c>
      <c r="F805" s="8" t="s">
        <v>782</v>
      </c>
      <c r="G805" s="8" t="s">
        <v>895</v>
      </c>
      <c r="H805" s="8" t="s">
        <v>896</v>
      </c>
    </row>
    <row r="806" customFormat="false" ht="15" hidden="false" customHeight="false" outlineLevel="0" collapsed="false">
      <c r="A806" s="8" t="s">
        <v>452</v>
      </c>
      <c r="B806" s="8" t="s">
        <v>454</v>
      </c>
      <c r="C806" s="8" t="n">
        <v>2022</v>
      </c>
      <c r="D806" s="8" t="s">
        <v>58</v>
      </c>
      <c r="E806" s="8" t="s">
        <v>456</v>
      </c>
      <c r="F806" s="8" t="s">
        <v>852</v>
      </c>
      <c r="G806" s="8" t="s">
        <v>853</v>
      </c>
      <c r="H806" s="8" t="s">
        <v>854</v>
      </c>
    </row>
    <row r="807" customFormat="false" ht="15" hidden="false" customHeight="false" outlineLevel="0" collapsed="false">
      <c r="A807" s="8" t="s">
        <v>459</v>
      </c>
      <c r="B807" s="8" t="s">
        <v>461</v>
      </c>
      <c r="C807" s="8" t="n">
        <v>2022</v>
      </c>
      <c r="D807" s="8" t="s">
        <v>58</v>
      </c>
      <c r="E807" s="8" t="s">
        <v>463</v>
      </c>
      <c r="F807" s="8" t="s">
        <v>852</v>
      </c>
      <c r="G807" s="8" t="s">
        <v>853</v>
      </c>
      <c r="H807" s="8" t="s">
        <v>854</v>
      </c>
    </row>
    <row r="808" customFormat="false" ht="15" hidden="false" customHeight="false" outlineLevel="0" collapsed="false">
      <c r="A808" s="8" t="s">
        <v>2945</v>
      </c>
      <c r="B808" s="8" t="s">
        <v>2946</v>
      </c>
      <c r="C808" s="8" t="n">
        <v>2023</v>
      </c>
      <c r="D808" s="8" t="s">
        <v>83</v>
      </c>
      <c r="E808" s="8" t="s">
        <v>2947</v>
      </c>
      <c r="F808" s="8" t="s">
        <v>782</v>
      </c>
      <c r="G808" s="8" t="s">
        <v>783</v>
      </c>
      <c r="H808" s="8" t="s">
        <v>784</v>
      </c>
    </row>
    <row r="809" customFormat="false" ht="15" hidden="false" customHeight="false" outlineLevel="0" collapsed="false">
      <c r="A809" s="8" t="s">
        <v>2948</v>
      </c>
      <c r="B809" s="8" t="s">
        <v>2949</v>
      </c>
      <c r="C809" s="8" t="n">
        <v>2020</v>
      </c>
      <c r="D809" s="8" t="s">
        <v>58</v>
      </c>
      <c r="E809" s="8" t="s">
        <v>2950</v>
      </c>
      <c r="F809" s="8" t="s">
        <v>782</v>
      </c>
      <c r="G809" s="8" t="s">
        <v>801</v>
      </c>
      <c r="H809" s="8" t="s">
        <v>915</v>
      </c>
    </row>
    <row r="810" customFormat="false" ht="15" hidden="false" customHeight="false" outlineLevel="0" collapsed="false">
      <c r="A810" s="8" t="s">
        <v>2951</v>
      </c>
      <c r="B810" s="8" t="s">
        <v>2952</v>
      </c>
      <c r="C810" s="8" t="n">
        <v>2022</v>
      </c>
      <c r="D810" s="8" t="s">
        <v>58</v>
      </c>
      <c r="E810" s="8" t="s">
        <v>2953</v>
      </c>
      <c r="F810" s="8" t="s">
        <v>782</v>
      </c>
      <c r="G810" s="8" t="s">
        <v>788</v>
      </c>
      <c r="H810" s="8" t="s">
        <v>789</v>
      </c>
    </row>
    <row r="811" customFormat="false" ht="15" hidden="false" customHeight="false" outlineLevel="0" collapsed="false">
      <c r="A811" s="8" t="s">
        <v>2954</v>
      </c>
      <c r="B811" s="8" t="s">
        <v>2955</v>
      </c>
      <c r="C811" s="8" t="n">
        <v>2022</v>
      </c>
      <c r="D811" s="8" t="s">
        <v>58</v>
      </c>
      <c r="E811" s="8"/>
      <c r="F811" s="8" t="s">
        <v>782</v>
      </c>
      <c r="G811" s="8" t="s">
        <v>783</v>
      </c>
      <c r="H811" s="8" t="s">
        <v>784</v>
      </c>
    </row>
    <row r="812" customFormat="false" ht="15" hidden="false" customHeight="false" outlineLevel="0" collapsed="false">
      <c r="A812" s="8" t="s">
        <v>2956</v>
      </c>
      <c r="B812" s="8" t="s">
        <v>2957</v>
      </c>
      <c r="C812" s="8" t="n">
        <v>2023</v>
      </c>
      <c r="D812" s="8" t="s">
        <v>58</v>
      </c>
      <c r="E812" s="8" t="s">
        <v>2958</v>
      </c>
      <c r="F812" s="8" t="s">
        <v>782</v>
      </c>
      <c r="G812" s="8" t="s">
        <v>783</v>
      </c>
      <c r="H812" s="8" t="s">
        <v>784</v>
      </c>
    </row>
    <row r="813" customFormat="false" ht="15" hidden="false" customHeight="false" outlineLevel="0" collapsed="false">
      <c r="A813" s="8" t="s">
        <v>2959</v>
      </c>
      <c r="B813" s="8" t="s">
        <v>2960</v>
      </c>
      <c r="C813" s="8" t="n">
        <v>2021</v>
      </c>
      <c r="D813" s="8" t="s">
        <v>58</v>
      </c>
      <c r="E813" s="8" t="s">
        <v>2961</v>
      </c>
      <c r="F813" s="8" t="s">
        <v>782</v>
      </c>
      <c r="G813" s="8" t="s">
        <v>783</v>
      </c>
      <c r="H813" s="8" t="s">
        <v>861</v>
      </c>
    </row>
    <row r="814" customFormat="false" ht="15" hidden="false" customHeight="false" outlineLevel="0" collapsed="false">
      <c r="A814" s="8" t="s">
        <v>2962</v>
      </c>
      <c r="B814" s="8" t="s">
        <v>2963</v>
      </c>
      <c r="C814" s="8" t="n">
        <v>2023</v>
      </c>
      <c r="D814" s="8" t="s">
        <v>58</v>
      </c>
      <c r="E814" s="8" t="s">
        <v>2964</v>
      </c>
      <c r="F814" s="8" t="s">
        <v>782</v>
      </c>
      <c r="G814" s="8" t="s">
        <v>783</v>
      </c>
      <c r="H814" s="8" t="s">
        <v>784</v>
      </c>
    </row>
    <row r="815" customFormat="false" ht="15" hidden="false" customHeight="false" outlineLevel="0" collapsed="false">
      <c r="A815" s="8" t="s">
        <v>2965</v>
      </c>
      <c r="B815" s="8" t="s">
        <v>2966</v>
      </c>
      <c r="C815" s="8" t="n">
        <v>2019</v>
      </c>
      <c r="D815" s="8" t="s">
        <v>58</v>
      </c>
      <c r="E815" s="8" t="s">
        <v>2967</v>
      </c>
      <c r="F815" s="8" t="s">
        <v>782</v>
      </c>
      <c r="G815" s="8" t="s">
        <v>783</v>
      </c>
      <c r="H815" s="8" t="s">
        <v>784</v>
      </c>
    </row>
    <row r="816" customFormat="false" ht="15" hidden="false" customHeight="false" outlineLevel="0" collapsed="false">
      <c r="A816" s="8" t="s">
        <v>2968</v>
      </c>
      <c r="B816" s="8" t="s">
        <v>2969</v>
      </c>
      <c r="C816" s="8" t="n">
        <v>2023</v>
      </c>
      <c r="D816" s="8" t="s">
        <v>58</v>
      </c>
      <c r="E816" s="8" t="s">
        <v>2970</v>
      </c>
      <c r="F816" s="8" t="s">
        <v>782</v>
      </c>
      <c r="G816" s="8" t="s">
        <v>783</v>
      </c>
      <c r="H816" s="8" t="s">
        <v>784</v>
      </c>
    </row>
    <row r="817" customFormat="false" ht="15" hidden="false" customHeight="false" outlineLevel="0" collapsed="false">
      <c r="A817" s="8" t="s">
        <v>2971</v>
      </c>
      <c r="B817" s="8" t="s">
        <v>2972</v>
      </c>
      <c r="C817" s="8" t="n">
        <v>2020</v>
      </c>
      <c r="D817" s="8" t="s">
        <v>83</v>
      </c>
      <c r="E817" s="8" t="s">
        <v>2973</v>
      </c>
      <c r="F817" s="8" t="s">
        <v>782</v>
      </c>
      <c r="G817" s="8" t="s">
        <v>783</v>
      </c>
      <c r="H817" s="8" t="s">
        <v>784</v>
      </c>
    </row>
    <row r="818" customFormat="false" ht="15" hidden="false" customHeight="false" outlineLevel="0" collapsed="false">
      <c r="A818" s="8" t="s">
        <v>2974</v>
      </c>
      <c r="B818" s="8" t="s">
        <v>2975</v>
      </c>
      <c r="C818" s="8" t="n">
        <v>2019</v>
      </c>
      <c r="D818" s="8" t="s">
        <v>58</v>
      </c>
      <c r="E818" s="8" t="s">
        <v>2976</v>
      </c>
      <c r="F818" s="8" t="s">
        <v>782</v>
      </c>
      <c r="G818" s="8" t="s">
        <v>783</v>
      </c>
      <c r="H818" s="8" t="s">
        <v>784</v>
      </c>
    </row>
    <row r="819" customFormat="false" ht="15" hidden="false" customHeight="false" outlineLevel="0" collapsed="false">
      <c r="A819" s="8" t="s">
        <v>562</v>
      </c>
      <c r="B819" s="8" t="s">
        <v>564</v>
      </c>
      <c r="C819" s="8" t="n">
        <v>2019</v>
      </c>
      <c r="D819" s="8" t="s">
        <v>83</v>
      </c>
      <c r="E819" s="8" t="s">
        <v>565</v>
      </c>
      <c r="F819" s="8" t="s">
        <v>852</v>
      </c>
      <c r="G819" s="8" t="s">
        <v>853</v>
      </c>
      <c r="H819" s="8" t="s">
        <v>854</v>
      </c>
    </row>
    <row r="820" customFormat="false" ht="15" hidden="false" customHeight="false" outlineLevel="0" collapsed="false">
      <c r="A820" s="8" t="s">
        <v>2977</v>
      </c>
      <c r="B820" s="8" t="s">
        <v>2978</v>
      </c>
      <c r="C820" s="8" t="n">
        <v>2019</v>
      </c>
      <c r="D820" s="8" t="s">
        <v>58</v>
      </c>
      <c r="E820" s="8" t="s">
        <v>2979</v>
      </c>
      <c r="F820" s="8" t="s">
        <v>782</v>
      </c>
      <c r="G820" s="8" t="s">
        <v>783</v>
      </c>
      <c r="H820" s="8" t="s">
        <v>784</v>
      </c>
    </row>
    <row r="821" customFormat="false" ht="15" hidden="false" customHeight="false" outlineLevel="0" collapsed="false">
      <c r="A821" s="8" t="s">
        <v>2980</v>
      </c>
      <c r="B821" s="8" t="s">
        <v>2981</v>
      </c>
      <c r="C821" s="8" t="n">
        <v>2022</v>
      </c>
      <c r="D821" s="8" t="s">
        <v>83</v>
      </c>
      <c r="E821" s="8" t="s">
        <v>2982</v>
      </c>
      <c r="F821" s="8" t="s">
        <v>782</v>
      </c>
      <c r="G821" s="8" t="s">
        <v>801</v>
      </c>
      <c r="H821" s="8" t="s">
        <v>802</v>
      </c>
    </row>
    <row r="822" customFormat="false" ht="15" hidden="false" customHeight="false" outlineLevel="0" collapsed="false">
      <c r="A822" s="8" t="s">
        <v>2983</v>
      </c>
      <c r="B822" s="8" t="s">
        <v>2984</v>
      </c>
      <c r="C822" s="8" t="n">
        <v>2020</v>
      </c>
      <c r="D822" s="8" t="s">
        <v>58</v>
      </c>
      <c r="E822" s="8" t="s">
        <v>2985</v>
      </c>
      <c r="F822" s="8" t="s">
        <v>782</v>
      </c>
      <c r="G822" s="8" t="s">
        <v>783</v>
      </c>
      <c r="H822" s="8" t="s">
        <v>784</v>
      </c>
    </row>
    <row r="823" customFormat="false" ht="15" hidden="false" customHeight="false" outlineLevel="0" collapsed="false">
      <c r="A823" s="8" t="s">
        <v>2986</v>
      </c>
      <c r="B823" s="8" t="s">
        <v>2987</v>
      </c>
      <c r="C823" s="8" t="n">
        <v>2023</v>
      </c>
      <c r="D823" s="8" t="s">
        <v>58</v>
      </c>
      <c r="E823" s="8" t="s">
        <v>2988</v>
      </c>
      <c r="F823" s="8" t="s">
        <v>782</v>
      </c>
      <c r="G823" s="8" t="s">
        <v>783</v>
      </c>
      <c r="H823" s="8" t="s">
        <v>784</v>
      </c>
    </row>
    <row r="824" customFormat="false" ht="15" hidden="false" customHeight="false" outlineLevel="0" collapsed="false">
      <c r="A824" s="8" t="s">
        <v>2989</v>
      </c>
      <c r="B824" s="8" t="s">
        <v>2990</v>
      </c>
      <c r="C824" s="8" t="n">
        <v>2020</v>
      </c>
      <c r="D824" s="8" t="s">
        <v>58</v>
      </c>
      <c r="E824" s="8" t="s">
        <v>2991</v>
      </c>
      <c r="F824" s="8" t="s">
        <v>782</v>
      </c>
      <c r="G824" s="8" t="s">
        <v>783</v>
      </c>
      <c r="H824" s="8" t="s">
        <v>784</v>
      </c>
    </row>
    <row r="825" customFormat="false" ht="15" hidden="false" customHeight="false" outlineLevel="0" collapsed="false">
      <c r="A825" s="8" t="s">
        <v>2992</v>
      </c>
      <c r="B825" s="8" t="s">
        <v>2993</v>
      </c>
      <c r="C825" s="8" t="n">
        <v>2020</v>
      </c>
      <c r="D825" s="8" t="s">
        <v>58</v>
      </c>
      <c r="E825" s="8" t="s">
        <v>2994</v>
      </c>
      <c r="F825" s="8" t="s">
        <v>782</v>
      </c>
      <c r="G825" s="8" t="s">
        <v>801</v>
      </c>
      <c r="H825" s="8" t="s">
        <v>915</v>
      </c>
    </row>
    <row r="826" customFormat="false" ht="15" hidden="false" customHeight="false" outlineLevel="0" collapsed="false">
      <c r="A826" s="8" t="s">
        <v>2995</v>
      </c>
      <c r="B826" s="8" t="s">
        <v>2996</v>
      </c>
      <c r="C826" s="8" t="n">
        <v>2020</v>
      </c>
      <c r="D826" s="8" t="s">
        <v>58</v>
      </c>
      <c r="E826" s="8" t="s">
        <v>2997</v>
      </c>
      <c r="F826" s="8" t="s">
        <v>782</v>
      </c>
      <c r="G826" s="8" t="s">
        <v>783</v>
      </c>
      <c r="H826" s="8" t="s">
        <v>784</v>
      </c>
    </row>
    <row r="827" customFormat="false" ht="15" hidden="false" customHeight="false" outlineLevel="0" collapsed="false">
      <c r="A827" s="8" t="s">
        <v>2998</v>
      </c>
      <c r="B827" s="8" t="s">
        <v>2999</v>
      </c>
      <c r="C827" s="8" t="n">
        <v>2021</v>
      </c>
      <c r="D827" s="8" t="s">
        <v>58</v>
      </c>
      <c r="E827" s="8" t="s">
        <v>3000</v>
      </c>
      <c r="F827" s="8" t="s">
        <v>782</v>
      </c>
      <c r="G827" s="8" t="s">
        <v>972</v>
      </c>
      <c r="H827" s="8" t="s">
        <v>973</v>
      </c>
    </row>
    <row r="828" customFormat="false" ht="15" hidden="false" customHeight="false" outlineLevel="0" collapsed="false">
      <c r="A828" s="8" t="s">
        <v>3001</v>
      </c>
      <c r="B828" s="8" t="s">
        <v>3002</v>
      </c>
      <c r="C828" s="8" t="n">
        <v>2020</v>
      </c>
      <c r="D828" s="8" t="s">
        <v>58</v>
      </c>
      <c r="E828" s="8" t="s">
        <v>3003</v>
      </c>
      <c r="F828" s="8" t="s">
        <v>782</v>
      </c>
      <c r="G828" s="8" t="s">
        <v>783</v>
      </c>
      <c r="H828" s="8" t="s">
        <v>784</v>
      </c>
    </row>
    <row r="829" customFormat="false" ht="15" hidden="false" customHeight="false" outlineLevel="0" collapsed="false">
      <c r="A829" s="8" t="s">
        <v>3004</v>
      </c>
      <c r="B829" s="8" t="s">
        <v>3005</v>
      </c>
      <c r="C829" s="8" t="n">
        <v>2019</v>
      </c>
      <c r="D829" s="8" t="s">
        <v>83</v>
      </c>
      <c r="E829" s="8" t="s">
        <v>3006</v>
      </c>
      <c r="F829" s="8" t="s">
        <v>782</v>
      </c>
      <c r="G829" s="8" t="s">
        <v>783</v>
      </c>
      <c r="H829" s="8" t="s">
        <v>784</v>
      </c>
    </row>
    <row r="830" customFormat="false" ht="15" hidden="false" customHeight="false" outlineLevel="0" collapsed="false">
      <c r="A830" s="8" t="s">
        <v>3007</v>
      </c>
      <c r="B830" s="8" t="s">
        <v>3008</v>
      </c>
      <c r="C830" s="8" t="n">
        <v>2021</v>
      </c>
      <c r="D830" s="8" t="s">
        <v>58</v>
      </c>
      <c r="E830" s="8" t="s">
        <v>3009</v>
      </c>
      <c r="F830" s="8" t="s">
        <v>782</v>
      </c>
      <c r="G830" s="8" t="s">
        <v>783</v>
      </c>
      <c r="H830" s="8" t="s">
        <v>861</v>
      </c>
    </row>
    <row r="831" customFormat="false" ht="15" hidden="false" customHeight="false" outlineLevel="0" collapsed="false">
      <c r="A831" s="8" t="s">
        <v>3010</v>
      </c>
      <c r="B831" s="8" t="s">
        <v>3011</v>
      </c>
      <c r="C831" s="8" t="n">
        <v>2019</v>
      </c>
      <c r="D831" s="8" t="s">
        <v>58</v>
      </c>
      <c r="E831" s="8" t="s">
        <v>3012</v>
      </c>
      <c r="F831" s="8" t="s">
        <v>782</v>
      </c>
      <c r="G831" s="8" t="s">
        <v>783</v>
      </c>
      <c r="H831" s="8" t="s">
        <v>784</v>
      </c>
    </row>
    <row r="832" customFormat="false" ht="15" hidden="false" customHeight="false" outlineLevel="0" collapsed="false">
      <c r="A832" s="8" t="s">
        <v>3013</v>
      </c>
      <c r="B832" s="8" t="s">
        <v>3014</v>
      </c>
      <c r="C832" s="8" t="n">
        <v>2021</v>
      </c>
      <c r="D832" s="8" t="s">
        <v>58</v>
      </c>
      <c r="E832" s="8" t="s">
        <v>3015</v>
      </c>
      <c r="F832" s="8" t="s">
        <v>782</v>
      </c>
      <c r="G832" s="8" t="s">
        <v>783</v>
      </c>
      <c r="H832" s="8" t="s">
        <v>784</v>
      </c>
    </row>
    <row r="833" customFormat="false" ht="15" hidden="false" customHeight="false" outlineLevel="0" collapsed="false">
      <c r="A833" s="8" t="s">
        <v>3016</v>
      </c>
      <c r="B833" s="8" t="s">
        <v>3017</v>
      </c>
      <c r="C833" s="8" t="n">
        <v>2019</v>
      </c>
      <c r="D833" s="8" t="s">
        <v>58</v>
      </c>
      <c r="E833" s="8" t="s">
        <v>3018</v>
      </c>
      <c r="F833" s="8" t="s">
        <v>782</v>
      </c>
      <c r="G833" s="8" t="s">
        <v>783</v>
      </c>
      <c r="H833" s="8" t="s">
        <v>861</v>
      </c>
    </row>
    <row r="834" customFormat="false" ht="15" hidden="false" customHeight="false" outlineLevel="0" collapsed="false">
      <c r="A834" s="8" t="s">
        <v>3019</v>
      </c>
      <c r="B834" s="8" t="s">
        <v>3020</v>
      </c>
      <c r="C834" s="8" t="n">
        <v>2020</v>
      </c>
      <c r="D834" s="8" t="s">
        <v>58</v>
      </c>
      <c r="E834" s="8" t="s">
        <v>3021</v>
      </c>
      <c r="F834" s="8" t="s">
        <v>782</v>
      </c>
      <c r="G834" s="8" t="s">
        <v>783</v>
      </c>
      <c r="H834" s="8" t="s">
        <v>784</v>
      </c>
    </row>
    <row r="835" customFormat="false" ht="15" hidden="false" customHeight="false" outlineLevel="0" collapsed="false">
      <c r="A835" s="8" t="s">
        <v>3022</v>
      </c>
      <c r="B835" s="8" t="s">
        <v>3023</v>
      </c>
      <c r="C835" s="8" t="n">
        <v>2022</v>
      </c>
      <c r="D835" s="8" t="s">
        <v>58</v>
      </c>
      <c r="E835" s="8" t="s">
        <v>3024</v>
      </c>
      <c r="F835" s="8" t="s">
        <v>782</v>
      </c>
      <c r="G835" s="8" t="s">
        <v>783</v>
      </c>
      <c r="H835" s="8" t="s">
        <v>784</v>
      </c>
    </row>
    <row r="836" customFormat="false" ht="15" hidden="false" customHeight="false" outlineLevel="0" collapsed="false">
      <c r="A836" s="8" t="s">
        <v>3025</v>
      </c>
      <c r="B836" s="8" t="s">
        <v>3026</v>
      </c>
      <c r="C836" s="8" t="n">
        <v>2022</v>
      </c>
      <c r="D836" s="8" t="s">
        <v>58</v>
      </c>
      <c r="E836" s="8" t="s">
        <v>3027</v>
      </c>
      <c r="F836" s="8" t="s">
        <v>782</v>
      </c>
      <c r="G836" s="8" t="s">
        <v>783</v>
      </c>
      <c r="H836" s="8" t="s">
        <v>784</v>
      </c>
    </row>
    <row r="837" customFormat="false" ht="15" hidden="false" customHeight="false" outlineLevel="0" collapsed="false">
      <c r="A837" s="8" t="s">
        <v>3028</v>
      </c>
      <c r="B837" s="8" t="s">
        <v>3029</v>
      </c>
      <c r="C837" s="8" t="n">
        <v>2020</v>
      </c>
      <c r="D837" s="8" t="s">
        <v>58</v>
      </c>
      <c r="E837" s="8" t="s">
        <v>3030</v>
      </c>
      <c r="F837" s="8" t="s">
        <v>782</v>
      </c>
      <c r="G837" s="8" t="s">
        <v>783</v>
      </c>
      <c r="H837" s="8" t="s">
        <v>784</v>
      </c>
    </row>
    <row r="838" customFormat="false" ht="15" hidden="false" customHeight="false" outlineLevel="0" collapsed="false">
      <c r="A838" s="8" t="s">
        <v>3031</v>
      </c>
      <c r="B838" s="8" t="s">
        <v>3032</v>
      </c>
      <c r="C838" s="8" t="n">
        <v>2023</v>
      </c>
      <c r="D838" s="8" t="s">
        <v>58</v>
      </c>
      <c r="E838" s="8" t="s">
        <v>3033</v>
      </c>
      <c r="F838" s="8" t="s">
        <v>782</v>
      </c>
      <c r="G838" s="8" t="s">
        <v>783</v>
      </c>
      <c r="H838" s="8" t="s">
        <v>784</v>
      </c>
    </row>
    <row r="839" customFormat="false" ht="15" hidden="false" customHeight="false" outlineLevel="0" collapsed="false">
      <c r="A839" s="8" t="s">
        <v>3034</v>
      </c>
      <c r="B839" s="8" t="s">
        <v>3035</v>
      </c>
      <c r="C839" s="8" t="n">
        <v>2021</v>
      </c>
      <c r="D839" s="8" t="s">
        <v>58</v>
      </c>
      <c r="E839" s="8" t="s">
        <v>3036</v>
      </c>
      <c r="F839" s="8" t="s">
        <v>782</v>
      </c>
      <c r="G839" s="8" t="s">
        <v>783</v>
      </c>
      <c r="H839" s="8" t="s">
        <v>784</v>
      </c>
    </row>
    <row r="840" customFormat="false" ht="15" hidden="false" customHeight="false" outlineLevel="0" collapsed="false">
      <c r="A840" s="8" t="s">
        <v>3037</v>
      </c>
      <c r="B840" s="8" t="s">
        <v>3038</v>
      </c>
      <c r="C840" s="8" t="n">
        <v>2019</v>
      </c>
      <c r="D840" s="8" t="s">
        <v>83</v>
      </c>
      <c r="E840" s="8" t="s">
        <v>3039</v>
      </c>
      <c r="F840" s="8" t="s">
        <v>782</v>
      </c>
      <c r="G840" s="8" t="s">
        <v>783</v>
      </c>
      <c r="H840" s="8" t="s">
        <v>784</v>
      </c>
    </row>
    <row r="841" customFormat="false" ht="15" hidden="false" customHeight="false" outlineLevel="0" collapsed="false">
      <c r="A841" s="8" t="s">
        <v>3040</v>
      </c>
      <c r="B841" s="8" t="s">
        <v>3041</v>
      </c>
      <c r="C841" s="8" t="n">
        <v>2019</v>
      </c>
      <c r="D841" s="8" t="s">
        <v>58</v>
      </c>
      <c r="E841" s="8" t="s">
        <v>3042</v>
      </c>
      <c r="F841" s="8" t="s">
        <v>782</v>
      </c>
      <c r="G841" s="8" t="s">
        <v>783</v>
      </c>
      <c r="H841" s="8" t="s">
        <v>784</v>
      </c>
    </row>
    <row r="842" customFormat="false" ht="15" hidden="false" customHeight="false" outlineLevel="0" collapsed="false">
      <c r="A842" s="8" t="s">
        <v>3043</v>
      </c>
      <c r="B842" s="8" t="s">
        <v>3044</v>
      </c>
      <c r="C842" s="8" t="n">
        <v>2023</v>
      </c>
      <c r="D842" s="8" t="s">
        <v>58</v>
      </c>
      <c r="E842" s="8" t="s">
        <v>3045</v>
      </c>
      <c r="F842" s="8" t="s">
        <v>782</v>
      </c>
      <c r="G842" s="8" t="s">
        <v>783</v>
      </c>
      <c r="H842" s="8" t="s">
        <v>784</v>
      </c>
    </row>
    <row r="843" customFormat="false" ht="15" hidden="false" customHeight="false" outlineLevel="0" collapsed="false">
      <c r="A843" s="8" t="s">
        <v>3046</v>
      </c>
      <c r="B843" s="8" t="s">
        <v>3047</v>
      </c>
      <c r="C843" s="8" t="n">
        <v>2022</v>
      </c>
      <c r="D843" s="8" t="s">
        <v>58</v>
      </c>
      <c r="E843" s="8" t="s">
        <v>3048</v>
      </c>
      <c r="F843" s="8" t="s">
        <v>782</v>
      </c>
      <c r="G843" s="8" t="s">
        <v>783</v>
      </c>
      <c r="H843" s="8" t="s">
        <v>784</v>
      </c>
    </row>
    <row r="844" customFormat="false" ht="15" hidden="false" customHeight="false" outlineLevel="0" collapsed="false">
      <c r="A844" s="8" t="s">
        <v>499</v>
      </c>
      <c r="B844" s="8" t="s">
        <v>501</v>
      </c>
      <c r="C844" s="8" t="n">
        <v>2021</v>
      </c>
      <c r="D844" s="8" t="s">
        <v>83</v>
      </c>
      <c r="E844" s="8" t="s">
        <v>503</v>
      </c>
      <c r="F844" s="8" t="s">
        <v>852</v>
      </c>
      <c r="G844" s="8" t="s">
        <v>853</v>
      </c>
      <c r="H844" s="8" t="s">
        <v>854</v>
      </c>
    </row>
    <row r="845" customFormat="false" ht="15" hidden="false" customHeight="false" outlineLevel="0" collapsed="false">
      <c r="A845" s="8" t="s">
        <v>3049</v>
      </c>
      <c r="B845" s="8" t="s">
        <v>3050</v>
      </c>
      <c r="C845" s="8" t="n">
        <v>2021</v>
      </c>
      <c r="D845" s="8" t="s">
        <v>58</v>
      </c>
      <c r="E845" s="8" t="s">
        <v>3051</v>
      </c>
      <c r="F845" s="8" t="s">
        <v>782</v>
      </c>
      <c r="G845" s="8" t="s">
        <v>783</v>
      </c>
      <c r="H845" s="8" t="s">
        <v>784</v>
      </c>
    </row>
    <row r="846" customFormat="false" ht="15" hidden="false" customHeight="false" outlineLevel="0" collapsed="false">
      <c r="A846" s="8" t="s">
        <v>3052</v>
      </c>
      <c r="B846" s="8" t="s">
        <v>3053</v>
      </c>
      <c r="C846" s="8" t="n">
        <v>2022</v>
      </c>
      <c r="D846" s="8" t="s">
        <v>90</v>
      </c>
      <c r="E846" s="8" t="s">
        <v>3054</v>
      </c>
      <c r="F846" s="8" t="s">
        <v>782</v>
      </c>
      <c r="G846" s="8" t="s">
        <v>783</v>
      </c>
      <c r="H846" s="8" t="s">
        <v>784</v>
      </c>
    </row>
    <row r="847" customFormat="false" ht="15" hidden="false" customHeight="false" outlineLevel="0" collapsed="false">
      <c r="A847" s="8" t="s">
        <v>3055</v>
      </c>
      <c r="B847" s="8" t="s">
        <v>3056</v>
      </c>
      <c r="C847" s="8" t="n">
        <v>2023</v>
      </c>
      <c r="D847" s="8" t="s">
        <v>58</v>
      </c>
      <c r="E847" s="8" t="s">
        <v>3057</v>
      </c>
      <c r="F847" s="8" t="s">
        <v>782</v>
      </c>
      <c r="G847" s="8" t="s">
        <v>783</v>
      </c>
      <c r="H847" s="8" t="s">
        <v>784</v>
      </c>
    </row>
    <row r="848" customFormat="false" ht="15" hidden="false" customHeight="false" outlineLevel="0" collapsed="false">
      <c r="A848" s="8" t="s">
        <v>3058</v>
      </c>
      <c r="B848" s="8" t="s">
        <v>3059</v>
      </c>
      <c r="C848" s="8" t="n">
        <v>2020</v>
      </c>
      <c r="D848" s="8" t="s">
        <v>58</v>
      </c>
      <c r="E848" s="8" t="s">
        <v>3060</v>
      </c>
      <c r="F848" s="8" t="s">
        <v>782</v>
      </c>
      <c r="G848" s="8" t="s">
        <v>801</v>
      </c>
      <c r="H848" s="8" t="s">
        <v>915</v>
      </c>
    </row>
    <row r="849" customFormat="false" ht="15" hidden="false" customHeight="false" outlineLevel="0" collapsed="false">
      <c r="A849" s="8" t="s">
        <v>3061</v>
      </c>
      <c r="B849" s="8" t="s">
        <v>3062</v>
      </c>
      <c r="C849" s="8" t="n">
        <v>2020</v>
      </c>
      <c r="D849" s="8" t="s">
        <v>58</v>
      </c>
      <c r="E849" s="8" t="s">
        <v>3063</v>
      </c>
      <c r="F849" s="8" t="s">
        <v>782</v>
      </c>
      <c r="G849" s="8" t="s">
        <v>783</v>
      </c>
      <c r="H849" s="8" t="s">
        <v>784</v>
      </c>
    </row>
    <row r="850" customFormat="false" ht="15" hidden="false" customHeight="false" outlineLevel="0" collapsed="false">
      <c r="A850" s="8" t="s">
        <v>3064</v>
      </c>
      <c r="B850" s="8" t="s">
        <v>3065</v>
      </c>
      <c r="C850" s="8" t="n">
        <v>2022</v>
      </c>
      <c r="D850" s="8" t="s">
        <v>83</v>
      </c>
      <c r="E850" s="8" t="s">
        <v>3066</v>
      </c>
      <c r="F850" s="8" t="s">
        <v>782</v>
      </c>
      <c r="G850" s="8" t="s">
        <v>783</v>
      </c>
      <c r="H850" s="8" t="s">
        <v>784</v>
      </c>
    </row>
    <row r="851" customFormat="false" ht="15" hidden="false" customHeight="false" outlineLevel="0" collapsed="false">
      <c r="A851" s="8" t="s">
        <v>3067</v>
      </c>
      <c r="B851" s="8" t="s">
        <v>3068</v>
      </c>
      <c r="C851" s="8" t="n">
        <v>2020</v>
      </c>
      <c r="D851" s="8" t="s">
        <v>58</v>
      </c>
      <c r="E851" s="8" t="s">
        <v>3069</v>
      </c>
      <c r="F851" s="8" t="s">
        <v>782</v>
      </c>
      <c r="G851" s="8" t="s">
        <v>801</v>
      </c>
      <c r="H851" s="8" t="s">
        <v>802</v>
      </c>
    </row>
    <row r="852" customFormat="false" ht="15" hidden="false" customHeight="false" outlineLevel="0" collapsed="false">
      <c r="A852" s="8" t="s">
        <v>3070</v>
      </c>
      <c r="B852" s="8" t="s">
        <v>3071</v>
      </c>
      <c r="C852" s="8" t="n">
        <v>2020</v>
      </c>
      <c r="D852" s="8" t="s">
        <v>83</v>
      </c>
      <c r="E852" s="8" t="s">
        <v>3072</v>
      </c>
      <c r="F852" s="8" t="s">
        <v>782</v>
      </c>
      <c r="G852" s="8" t="s">
        <v>783</v>
      </c>
      <c r="H852" s="8" t="s">
        <v>784</v>
      </c>
    </row>
    <row r="853" customFormat="false" ht="15" hidden="false" customHeight="false" outlineLevel="0" collapsed="false">
      <c r="A853" s="8" t="s">
        <v>3073</v>
      </c>
      <c r="B853" s="8" t="s">
        <v>3074</v>
      </c>
      <c r="C853" s="8" t="n">
        <v>2022</v>
      </c>
      <c r="D853" s="8" t="s">
        <v>74</v>
      </c>
      <c r="E853" s="8" t="s">
        <v>3075</v>
      </c>
      <c r="F853" s="8" t="s">
        <v>782</v>
      </c>
      <c r="G853" s="8" t="s">
        <v>783</v>
      </c>
      <c r="H853" s="8" t="s">
        <v>784</v>
      </c>
    </row>
    <row r="854" customFormat="false" ht="15" hidden="false" customHeight="false" outlineLevel="0" collapsed="false">
      <c r="A854" s="8" t="s">
        <v>3076</v>
      </c>
      <c r="B854" s="8" t="s">
        <v>3077</v>
      </c>
      <c r="C854" s="8" t="n">
        <v>2023</v>
      </c>
      <c r="D854" s="8" t="s">
        <v>58</v>
      </c>
      <c r="E854" s="8" t="s">
        <v>3078</v>
      </c>
      <c r="F854" s="8" t="s">
        <v>782</v>
      </c>
      <c r="G854" s="8" t="s">
        <v>783</v>
      </c>
      <c r="H854" s="8" t="s">
        <v>784</v>
      </c>
    </row>
    <row r="855" customFormat="false" ht="15" hidden="false" customHeight="false" outlineLevel="0" collapsed="false">
      <c r="A855" s="8" t="s">
        <v>466</v>
      </c>
      <c r="B855" s="8" t="s">
        <v>468</v>
      </c>
      <c r="C855" s="8" t="n">
        <v>2022</v>
      </c>
      <c r="D855" s="8" t="s">
        <v>58</v>
      </c>
      <c r="E855" s="8" t="s">
        <v>470</v>
      </c>
      <c r="F855" s="8" t="s">
        <v>852</v>
      </c>
      <c r="G855" s="8" t="s">
        <v>853</v>
      </c>
      <c r="H855" s="8" t="s">
        <v>854</v>
      </c>
    </row>
    <row r="856" customFormat="false" ht="15" hidden="false" customHeight="false" outlineLevel="0" collapsed="false">
      <c r="A856" s="8" t="s">
        <v>3079</v>
      </c>
      <c r="B856" s="8" t="s">
        <v>3080</v>
      </c>
      <c r="C856" s="8" t="n">
        <v>2021</v>
      </c>
      <c r="D856" s="8" t="s">
        <v>83</v>
      </c>
      <c r="E856" s="8" t="s">
        <v>3081</v>
      </c>
      <c r="F856" s="8" t="s">
        <v>782</v>
      </c>
      <c r="G856" s="8" t="s">
        <v>783</v>
      </c>
      <c r="H856" s="8" t="s">
        <v>784</v>
      </c>
    </row>
    <row r="857" customFormat="false" ht="15" hidden="false" customHeight="false" outlineLevel="0" collapsed="false">
      <c r="A857" s="8" t="s">
        <v>3082</v>
      </c>
      <c r="B857" s="8" t="s">
        <v>3083</v>
      </c>
      <c r="C857" s="8" t="n">
        <v>2019</v>
      </c>
      <c r="D857" s="8" t="s">
        <v>58</v>
      </c>
      <c r="E857" s="8" t="s">
        <v>3084</v>
      </c>
      <c r="F857" s="8" t="s">
        <v>782</v>
      </c>
      <c r="G857" s="8" t="s">
        <v>801</v>
      </c>
      <c r="H857" s="8" t="s">
        <v>915</v>
      </c>
    </row>
    <row r="858" customFormat="false" ht="15" hidden="false" customHeight="false" outlineLevel="0" collapsed="false">
      <c r="A858" s="8" t="s">
        <v>3085</v>
      </c>
      <c r="B858" s="8" t="s">
        <v>3086</v>
      </c>
      <c r="C858" s="8" t="n">
        <v>2019</v>
      </c>
      <c r="D858" s="8" t="s">
        <v>58</v>
      </c>
      <c r="E858" s="8" t="s">
        <v>3087</v>
      </c>
      <c r="F858" s="8" t="s">
        <v>782</v>
      </c>
      <c r="G858" s="8" t="s">
        <v>783</v>
      </c>
      <c r="H858" s="8" t="s">
        <v>784</v>
      </c>
    </row>
    <row r="859" customFormat="false" ht="15" hidden="false" customHeight="false" outlineLevel="0" collapsed="false">
      <c r="A859" s="8" t="s">
        <v>3088</v>
      </c>
      <c r="B859" s="8" t="s">
        <v>3089</v>
      </c>
      <c r="C859" s="8" t="n">
        <v>2023</v>
      </c>
      <c r="D859" s="8" t="s">
        <v>58</v>
      </c>
      <c r="E859" s="8" t="s">
        <v>3090</v>
      </c>
      <c r="F859" s="8" t="s">
        <v>782</v>
      </c>
      <c r="G859" s="8" t="s">
        <v>783</v>
      </c>
      <c r="H859" s="8" t="s">
        <v>861</v>
      </c>
    </row>
    <row r="860" customFormat="false" ht="15" hidden="false" customHeight="false" outlineLevel="0" collapsed="false">
      <c r="A860" s="8" t="s">
        <v>3091</v>
      </c>
      <c r="B860" s="8" t="s">
        <v>3092</v>
      </c>
      <c r="C860" s="8" t="n">
        <v>2019</v>
      </c>
      <c r="D860" s="8" t="s">
        <v>58</v>
      </c>
      <c r="E860" s="8" t="s">
        <v>3093</v>
      </c>
      <c r="F860" s="8" t="s">
        <v>782</v>
      </c>
      <c r="G860" s="8" t="s">
        <v>895</v>
      </c>
      <c r="H860" s="8" t="s">
        <v>896</v>
      </c>
    </row>
    <row r="861" customFormat="false" ht="15" hidden="false" customHeight="false" outlineLevel="0" collapsed="false">
      <c r="A861" s="8" t="s">
        <v>3094</v>
      </c>
      <c r="B861" s="8" t="s">
        <v>3095</v>
      </c>
      <c r="C861" s="8" t="n">
        <v>2020</v>
      </c>
      <c r="D861" s="8" t="s">
        <v>58</v>
      </c>
      <c r="E861" s="8" t="s">
        <v>3096</v>
      </c>
      <c r="F861" s="8" t="s">
        <v>782</v>
      </c>
      <c r="G861" s="8" t="s">
        <v>783</v>
      </c>
      <c r="H861" s="8" t="s">
        <v>784</v>
      </c>
    </row>
    <row r="862" customFormat="false" ht="15" hidden="false" customHeight="false" outlineLevel="0" collapsed="false">
      <c r="A862" s="8" t="s">
        <v>488</v>
      </c>
      <c r="B862" s="8" t="s">
        <v>490</v>
      </c>
      <c r="C862" s="8" t="n">
        <v>2021</v>
      </c>
      <c r="D862" s="8" t="s">
        <v>58</v>
      </c>
      <c r="E862" s="8" t="s">
        <v>491</v>
      </c>
      <c r="F862" s="8" t="s">
        <v>852</v>
      </c>
      <c r="G862" s="8" t="s">
        <v>853</v>
      </c>
      <c r="H862" s="8" t="s">
        <v>854</v>
      </c>
    </row>
    <row r="863" customFormat="false" ht="15" hidden="false" customHeight="false" outlineLevel="0" collapsed="false">
      <c r="A863" s="8" t="s">
        <v>424</v>
      </c>
      <c r="B863" s="8" t="s">
        <v>426</v>
      </c>
      <c r="C863" s="8" t="n">
        <v>2022</v>
      </c>
      <c r="D863" s="8" t="s">
        <v>83</v>
      </c>
      <c r="E863" s="8" t="s">
        <v>427</v>
      </c>
      <c r="F863" s="8" t="s">
        <v>852</v>
      </c>
      <c r="G863" s="8" t="s">
        <v>853</v>
      </c>
      <c r="H863" s="8" t="s">
        <v>854</v>
      </c>
    </row>
    <row r="864" customFormat="false" ht="15" hidden="false" customHeight="false" outlineLevel="0" collapsed="false">
      <c r="A864" s="8" t="s">
        <v>3097</v>
      </c>
      <c r="B864" s="8" t="s">
        <v>3098</v>
      </c>
      <c r="C864" s="8" t="n">
        <v>2022</v>
      </c>
      <c r="D864" s="8" t="s">
        <v>58</v>
      </c>
      <c r="E864" s="8" t="s">
        <v>3099</v>
      </c>
      <c r="F864" s="8" t="s">
        <v>782</v>
      </c>
      <c r="G864" s="8" t="s">
        <v>783</v>
      </c>
      <c r="H864" s="8" t="s">
        <v>784</v>
      </c>
    </row>
    <row r="865" customFormat="false" ht="15" hidden="false" customHeight="false" outlineLevel="0" collapsed="false">
      <c r="A865" s="8" t="s">
        <v>3100</v>
      </c>
      <c r="B865" s="8" t="s">
        <v>3101</v>
      </c>
      <c r="C865" s="8" t="n">
        <v>2021</v>
      </c>
      <c r="D865" s="8" t="s">
        <v>90</v>
      </c>
      <c r="E865" s="8" t="s">
        <v>3102</v>
      </c>
      <c r="F865" s="8" t="s">
        <v>782</v>
      </c>
      <c r="G865" s="8" t="s">
        <v>783</v>
      </c>
      <c r="H865" s="8" t="s">
        <v>784</v>
      </c>
    </row>
    <row r="866" customFormat="false" ht="15" hidden="false" customHeight="false" outlineLevel="0" collapsed="false">
      <c r="A866" s="8" t="s">
        <v>3103</v>
      </c>
      <c r="B866" s="8" t="s">
        <v>3104</v>
      </c>
      <c r="C866" s="8" t="n">
        <v>2022</v>
      </c>
      <c r="D866" s="8" t="s">
        <v>58</v>
      </c>
      <c r="E866" s="8" t="s">
        <v>3105</v>
      </c>
      <c r="F866" s="8" t="s">
        <v>782</v>
      </c>
      <c r="G866" s="8" t="s">
        <v>783</v>
      </c>
      <c r="H866" s="8" t="s">
        <v>784</v>
      </c>
    </row>
    <row r="867" customFormat="false" ht="15" hidden="false" customHeight="false" outlineLevel="0" collapsed="false">
      <c r="A867" s="8" t="s">
        <v>3106</v>
      </c>
      <c r="B867" s="8" t="s">
        <v>3107</v>
      </c>
      <c r="C867" s="8" t="n">
        <v>2023</v>
      </c>
      <c r="D867" s="8" t="s">
        <v>90</v>
      </c>
      <c r="E867" s="8" t="s">
        <v>3108</v>
      </c>
      <c r="F867" s="8" t="s">
        <v>782</v>
      </c>
      <c r="G867" s="8" t="s">
        <v>801</v>
      </c>
      <c r="H867" s="8" t="s">
        <v>802</v>
      </c>
    </row>
    <row r="868" customFormat="false" ht="15" hidden="false" customHeight="false" outlineLevel="0" collapsed="false">
      <c r="A868" s="8" t="s">
        <v>539</v>
      </c>
      <c r="B868" s="8" t="s">
        <v>541</v>
      </c>
      <c r="C868" s="8" t="n">
        <v>2020</v>
      </c>
      <c r="D868" s="8" t="s">
        <v>58</v>
      </c>
      <c r="E868" s="8" t="s">
        <v>543</v>
      </c>
      <c r="F868" s="8" t="s">
        <v>852</v>
      </c>
      <c r="G868" s="8" t="s">
        <v>853</v>
      </c>
      <c r="H868" s="8" t="s">
        <v>854</v>
      </c>
    </row>
    <row r="869" customFormat="false" ht="15" hidden="false" customHeight="false" outlineLevel="0" collapsed="false">
      <c r="A869" s="8" t="s">
        <v>3109</v>
      </c>
      <c r="B869" s="8" t="s">
        <v>3110</v>
      </c>
      <c r="C869" s="8" t="n">
        <v>2019</v>
      </c>
      <c r="D869" s="8" t="s">
        <v>58</v>
      </c>
      <c r="E869" s="8" t="s">
        <v>3111</v>
      </c>
      <c r="F869" s="8" t="s">
        <v>782</v>
      </c>
      <c r="G869" s="8" t="s">
        <v>783</v>
      </c>
      <c r="H869" s="8" t="s">
        <v>784</v>
      </c>
    </row>
    <row r="870" customFormat="false" ht="15" hidden="false" customHeight="false" outlineLevel="0" collapsed="false">
      <c r="A870" s="8" t="s">
        <v>3112</v>
      </c>
      <c r="B870" s="8" t="s">
        <v>3113</v>
      </c>
      <c r="C870" s="8" t="n">
        <v>2019</v>
      </c>
      <c r="D870" s="8" t="s">
        <v>58</v>
      </c>
      <c r="E870" s="8" t="s">
        <v>3114</v>
      </c>
      <c r="F870" s="8" t="s">
        <v>782</v>
      </c>
      <c r="G870" s="8" t="s">
        <v>783</v>
      </c>
      <c r="H870" s="8" t="s">
        <v>784</v>
      </c>
    </row>
    <row r="871" customFormat="false" ht="15" hidden="false" customHeight="false" outlineLevel="0" collapsed="false">
      <c r="A871" s="8" t="s">
        <v>533</v>
      </c>
      <c r="B871" s="8" t="s">
        <v>535</v>
      </c>
      <c r="C871" s="8" t="n">
        <v>2021</v>
      </c>
      <c r="D871" s="8" t="s">
        <v>58</v>
      </c>
      <c r="E871" s="8" t="s">
        <v>537</v>
      </c>
      <c r="F871" s="8" t="s">
        <v>852</v>
      </c>
      <c r="G871" s="8" t="s">
        <v>853</v>
      </c>
      <c r="H871" s="8" t="s">
        <v>854</v>
      </c>
    </row>
    <row r="872" customFormat="false" ht="15" hidden="false" customHeight="false" outlineLevel="0" collapsed="false">
      <c r="A872" s="8" t="s">
        <v>3115</v>
      </c>
      <c r="B872" s="8" t="s">
        <v>3116</v>
      </c>
      <c r="C872" s="8" t="n">
        <v>2023</v>
      </c>
      <c r="D872" s="8" t="s">
        <v>58</v>
      </c>
      <c r="E872" s="8" t="s">
        <v>3117</v>
      </c>
      <c r="F872" s="8" t="s">
        <v>782</v>
      </c>
      <c r="G872" s="8" t="s">
        <v>783</v>
      </c>
      <c r="H872" s="8" t="s">
        <v>784</v>
      </c>
    </row>
    <row r="873" customFormat="false" ht="15" hidden="false" customHeight="false" outlineLevel="0" collapsed="false">
      <c r="A873" s="8" t="s">
        <v>3118</v>
      </c>
      <c r="B873" s="8" t="s">
        <v>3119</v>
      </c>
      <c r="C873" s="8" t="n">
        <v>2019</v>
      </c>
      <c r="D873" s="8" t="s">
        <v>58</v>
      </c>
      <c r="E873" s="8" t="s">
        <v>3120</v>
      </c>
      <c r="F873" s="8" t="s">
        <v>782</v>
      </c>
      <c r="G873" s="8" t="s">
        <v>783</v>
      </c>
      <c r="H873" s="8" t="s">
        <v>784</v>
      </c>
    </row>
    <row r="874" customFormat="false" ht="15" hidden="false" customHeight="false" outlineLevel="0" collapsed="false">
      <c r="A874" s="8" t="s">
        <v>394</v>
      </c>
      <c r="B874" s="8" t="s">
        <v>396</v>
      </c>
      <c r="C874" s="8" t="n">
        <v>2023</v>
      </c>
      <c r="D874" s="8" t="s">
        <v>58</v>
      </c>
      <c r="E874" s="8" t="s">
        <v>398</v>
      </c>
      <c r="F874" s="8" t="s">
        <v>852</v>
      </c>
      <c r="G874" s="8" t="s">
        <v>853</v>
      </c>
      <c r="H874" s="8" t="s">
        <v>854</v>
      </c>
    </row>
    <row r="875" customFormat="false" ht="15" hidden="false" customHeight="false" outlineLevel="0" collapsed="false">
      <c r="A875" s="8" t="s">
        <v>3121</v>
      </c>
      <c r="B875" s="8" t="s">
        <v>3122</v>
      </c>
      <c r="C875" s="8" t="n">
        <v>2019</v>
      </c>
      <c r="D875" s="8" t="s">
        <v>58</v>
      </c>
      <c r="E875" s="8" t="s">
        <v>3123</v>
      </c>
      <c r="F875" s="8" t="s">
        <v>782</v>
      </c>
      <c r="G875" s="8" t="s">
        <v>783</v>
      </c>
      <c r="H875" s="8" t="s">
        <v>784</v>
      </c>
    </row>
    <row r="876" customFormat="false" ht="15" hidden="false" customHeight="false" outlineLevel="0" collapsed="false">
      <c r="A876" s="8" t="s">
        <v>3124</v>
      </c>
      <c r="B876" s="8" t="s">
        <v>3125</v>
      </c>
      <c r="C876" s="8" t="n">
        <v>2023</v>
      </c>
      <c r="D876" s="8" t="s">
        <v>83</v>
      </c>
      <c r="E876" s="8" t="s">
        <v>3126</v>
      </c>
      <c r="F876" s="8" t="s">
        <v>782</v>
      </c>
      <c r="G876" s="8" t="s">
        <v>895</v>
      </c>
      <c r="H876" s="8" t="s">
        <v>896</v>
      </c>
    </row>
    <row r="877" customFormat="false" ht="15" hidden="false" customHeight="false" outlineLevel="0" collapsed="false">
      <c r="A877" s="8" t="s">
        <v>3127</v>
      </c>
      <c r="B877" s="8" t="s">
        <v>3128</v>
      </c>
      <c r="C877" s="8" t="n">
        <v>2019</v>
      </c>
      <c r="D877" s="8" t="s">
        <v>83</v>
      </c>
      <c r="E877" s="8" t="s">
        <v>3129</v>
      </c>
      <c r="F877" s="8" t="s">
        <v>782</v>
      </c>
      <c r="G877" s="8" t="s">
        <v>783</v>
      </c>
      <c r="H877" s="8" t="s">
        <v>784</v>
      </c>
    </row>
    <row r="878" customFormat="false" ht="15" hidden="false" customHeight="false" outlineLevel="0" collapsed="false">
      <c r="A878" s="8" t="s">
        <v>3130</v>
      </c>
      <c r="B878" s="8" t="s">
        <v>3131</v>
      </c>
      <c r="C878" s="8" t="n">
        <v>2022</v>
      </c>
      <c r="D878" s="8" t="s">
        <v>83</v>
      </c>
      <c r="E878" s="8" t="s">
        <v>3132</v>
      </c>
      <c r="F878" s="8" t="s">
        <v>782</v>
      </c>
      <c r="G878" s="8" t="s">
        <v>783</v>
      </c>
      <c r="H878" s="8" t="s">
        <v>784</v>
      </c>
    </row>
    <row r="879" customFormat="false" ht="15" hidden="false" customHeight="false" outlineLevel="0" collapsed="false">
      <c r="A879" s="8" t="s">
        <v>3133</v>
      </c>
      <c r="B879" s="8" t="s">
        <v>3134</v>
      </c>
      <c r="C879" s="8" t="n">
        <v>2020</v>
      </c>
      <c r="D879" s="8" t="s">
        <v>58</v>
      </c>
      <c r="E879" s="8" t="s">
        <v>3135</v>
      </c>
      <c r="F879" s="8" t="s">
        <v>782</v>
      </c>
      <c r="G879" s="8" t="s">
        <v>783</v>
      </c>
      <c r="H879" s="8" t="s">
        <v>861</v>
      </c>
    </row>
    <row r="880" customFormat="false" ht="15" hidden="false" customHeight="false" outlineLevel="0" collapsed="false">
      <c r="A880" s="8" t="s">
        <v>483</v>
      </c>
      <c r="B880" s="8" t="s">
        <v>485</v>
      </c>
      <c r="C880" s="8" t="n">
        <v>2021</v>
      </c>
      <c r="D880" s="8" t="s">
        <v>58</v>
      </c>
      <c r="E880" s="8" t="s">
        <v>486</v>
      </c>
      <c r="F880" s="8" t="s">
        <v>852</v>
      </c>
      <c r="G880" s="8" t="s">
        <v>853</v>
      </c>
      <c r="H880" s="8" t="s">
        <v>854</v>
      </c>
    </row>
    <row r="881" customFormat="false" ht="15" hidden="false" customHeight="false" outlineLevel="0" collapsed="false">
      <c r="A881" s="8" t="s">
        <v>3136</v>
      </c>
      <c r="B881" s="8" t="s">
        <v>3137</v>
      </c>
      <c r="C881" s="8" t="n">
        <v>2020</v>
      </c>
      <c r="D881" s="8" t="s">
        <v>58</v>
      </c>
      <c r="E881" s="8" t="s">
        <v>3138</v>
      </c>
      <c r="F881" s="8" t="s">
        <v>782</v>
      </c>
      <c r="G881" s="8" t="s">
        <v>783</v>
      </c>
      <c r="H881" s="8" t="s">
        <v>784</v>
      </c>
    </row>
    <row r="882" customFormat="false" ht="15" hidden="false" customHeight="false" outlineLevel="0" collapsed="false">
      <c r="A882" s="8" t="s">
        <v>3139</v>
      </c>
      <c r="B882" s="8" t="s">
        <v>3140</v>
      </c>
      <c r="C882" s="8" t="n">
        <v>2020</v>
      </c>
      <c r="D882" s="8" t="s">
        <v>58</v>
      </c>
      <c r="E882" s="8" t="s">
        <v>3141</v>
      </c>
      <c r="F882" s="8" t="s">
        <v>782</v>
      </c>
      <c r="G882" s="8" t="s">
        <v>801</v>
      </c>
      <c r="H882" s="8" t="s">
        <v>802</v>
      </c>
    </row>
    <row r="883" customFormat="false" ht="15" hidden="false" customHeight="false" outlineLevel="0" collapsed="false">
      <c r="A883" s="8" t="s">
        <v>3142</v>
      </c>
      <c r="B883" s="8" t="s">
        <v>3143</v>
      </c>
      <c r="C883" s="8" t="n">
        <v>2020</v>
      </c>
      <c r="D883" s="8" t="s">
        <v>58</v>
      </c>
      <c r="E883" s="8" t="s">
        <v>3144</v>
      </c>
      <c r="F883" s="8" t="s">
        <v>782</v>
      </c>
      <c r="G883" s="8" t="s">
        <v>783</v>
      </c>
      <c r="H883" s="8" t="s">
        <v>784</v>
      </c>
    </row>
    <row r="884" customFormat="false" ht="15" hidden="false" customHeight="false" outlineLevel="0" collapsed="false">
      <c r="A884" s="8" t="s">
        <v>339</v>
      </c>
      <c r="B884" s="8" t="s">
        <v>341</v>
      </c>
      <c r="C884" s="8" t="n">
        <v>2023</v>
      </c>
      <c r="D884" s="8" t="s">
        <v>83</v>
      </c>
      <c r="E884" s="8" t="s">
        <v>342</v>
      </c>
      <c r="F884" s="8" t="s">
        <v>852</v>
      </c>
      <c r="G884" s="8" t="s">
        <v>853</v>
      </c>
      <c r="H884" s="8" t="s">
        <v>854</v>
      </c>
    </row>
    <row r="885" customFormat="false" ht="15" hidden="false" customHeight="false" outlineLevel="0" collapsed="false">
      <c r="A885" s="8" t="s">
        <v>3145</v>
      </c>
      <c r="B885" s="8" t="s">
        <v>3146</v>
      </c>
      <c r="C885" s="8" t="n">
        <v>2022</v>
      </c>
      <c r="D885" s="8" t="s">
        <v>58</v>
      </c>
      <c r="E885" s="8" t="s">
        <v>3147</v>
      </c>
      <c r="F885" s="8" t="s">
        <v>782</v>
      </c>
      <c r="G885" s="8" t="s">
        <v>783</v>
      </c>
      <c r="H885" s="8" t="s">
        <v>784</v>
      </c>
    </row>
    <row r="886" customFormat="false" ht="15" hidden="false" customHeight="false" outlineLevel="0" collapsed="false">
      <c r="A886" s="8" t="s">
        <v>3148</v>
      </c>
      <c r="B886" s="8" t="s">
        <v>3149</v>
      </c>
      <c r="C886" s="8" t="n">
        <v>2022</v>
      </c>
      <c r="D886" s="8" t="s">
        <v>83</v>
      </c>
      <c r="E886" s="8" t="s">
        <v>3150</v>
      </c>
      <c r="F886" s="8" t="s">
        <v>782</v>
      </c>
      <c r="G886" s="8" t="s">
        <v>783</v>
      </c>
      <c r="H886" s="8" t="s">
        <v>784</v>
      </c>
    </row>
    <row r="887" customFormat="false" ht="15" hidden="false" customHeight="false" outlineLevel="0" collapsed="false">
      <c r="A887" s="8" t="s">
        <v>3151</v>
      </c>
      <c r="B887" s="8" t="s">
        <v>3152</v>
      </c>
      <c r="C887" s="8" t="n">
        <v>2022</v>
      </c>
      <c r="D887" s="8" t="s">
        <v>83</v>
      </c>
      <c r="E887" s="8" t="s">
        <v>3153</v>
      </c>
      <c r="F887" s="8" t="s">
        <v>782</v>
      </c>
      <c r="G887" s="8" t="s">
        <v>801</v>
      </c>
      <c r="H887" s="8" t="s">
        <v>802</v>
      </c>
    </row>
    <row r="888" customFormat="false" ht="15" hidden="false" customHeight="false" outlineLevel="0" collapsed="false">
      <c r="A888" s="8" t="s">
        <v>3154</v>
      </c>
      <c r="B888" s="8" t="s">
        <v>3155</v>
      </c>
      <c r="C888" s="8" t="n">
        <v>2023</v>
      </c>
      <c r="D888" s="8" t="s">
        <v>83</v>
      </c>
      <c r="E888" s="8" t="s">
        <v>3156</v>
      </c>
      <c r="F888" s="8" t="s">
        <v>782</v>
      </c>
      <c r="G888" s="8" t="s">
        <v>788</v>
      </c>
      <c r="H888" s="8" t="s">
        <v>789</v>
      </c>
    </row>
    <row r="889" customFormat="false" ht="15" hidden="false" customHeight="false" outlineLevel="0" collapsed="false">
      <c r="A889" s="8" t="s">
        <v>3157</v>
      </c>
      <c r="B889" s="8" t="s">
        <v>3158</v>
      </c>
      <c r="C889" s="8" t="n">
        <v>2020</v>
      </c>
      <c r="D889" s="8" t="s">
        <v>58</v>
      </c>
      <c r="E889" s="8" t="s">
        <v>3159</v>
      </c>
      <c r="F889" s="8" t="s">
        <v>782</v>
      </c>
      <c r="G889" s="8" t="s">
        <v>801</v>
      </c>
      <c r="H889" s="8" t="s">
        <v>802</v>
      </c>
    </row>
    <row r="890" customFormat="false" ht="15" hidden="false" customHeight="false" outlineLevel="0" collapsed="false">
      <c r="A890" s="8" t="s">
        <v>3160</v>
      </c>
      <c r="B890" s="8" t="s">
        <v>3161</v>
      </c>
      <c r="C890" s="8" t="n">
        <v>2022</v>
      </c>
      <c r="D890" s="8" t="s">
        <v>58</v>
      </c>
      <c r="E890" s="8" t="s">
        <v>3162</v>
      </c>
      <c r="F890" s="8" t="s">
        <v>782</v>
      </c>
      <c r="G890" s="8" t="s">
        <v>783</v>
      </c>
      <c r="H890" s="8" t="s">
        <v>861</v>
      </c>
    </row>
    <row r="891" customFormat="false" ht="15" hidden="false" customHeight="false" outlineLevel="0" collapsed="false">
      <c r="A891" s="8" t="s">
        <v>3163</v>
      </c>
      <c r="B891" s="8" t="s">
        <v>3164</v>
      </c>
      <c r="C891" s="8" t="n">
        <v>2019</v>
      </c>
      <c r="D891" s="8" t="s">
        <v>58</v>
      </c>
      <c r="E891" s="8" t="s">
        <v>3165</v>
      </c>
      <c r="F891" s="8" t="s">
        <v>782</v>
      </c>
      <c r="G891" s="8" t="s">
        <v>895</v>
      </c>
      <c r="H891" s="8" t="s">
        <v>896</v>
      </c>
    </row>
    <row r="892" customFormat="false" ht="15" hidden="false" customHeight="false" outlineLevel="0" collapsed="false">
      <c r="A892" s="8" t="s">
        <v>3166</v>
      </c>
      <c r="B892" s="8" t="s">
        <v>3167</v>
      </c>
      <c r="C892" s="8" t="n">
        <v>2021</v>
      </c>
      <c r="D892" s="8" t="s">
        <v>83</v>
      </c>
      <c r="E892" s="8" t="s">
        <v>3168</v>
      </c>
      <c r="F892" s="8" t="s">
        <v>782</v>
      </c>
      <c r="G892" s="8" t="s">
        <v>783</v>
      </c>
      <c r="H892" s="8" t="s">
        <v>784</v>
      </c>
    </row>
    <row r="893" customFormat="false" ht="15" hidden="false" customHeight="false" outlineLevel="0" collapsed="false">
      <c r="A893" s="8" t="s">
        <v>3169</v>
      </c>
      <c r="B893" s="8" t="s">
        <v>3170</v>
      </c>
      <c r="C893" s="8" t="n">
        <v>2020</v>
      </c>
      <c r="D893" s="8" t="s">
        <v>58</v>
      </c>
      <c r="E893" s="8"/>
      <c r="F893" s="8" t="s">
        <v>782</v>
      </c>
      <c r="G893" s="8" t="s">
        <v>788</v>
      </c>
      <c r="H893" s="8" t="s">
        <v>789</v>
      </c>
    </row>
    <row r="894" customFormat="false" ht="15" hidden="false" customHeight="false" outlineLevel="0" collapsed="false">
      <c r="A894" s="8" t="s">
        <v>3171</v>
      </c>
      <c r="B894" s="8" t="s">
        <v>3172</v>
      </c>
      <c r="C894" s="8" t="n">
        <v>2023</v>
      </c>
      <c r="D894" s="8" t="s">
        <v>58</v>
      </c>
      <c r="E894" s="8"/>
      <c r="F894" s="8" t="s">
        <v>782</v>
      </c>
      <c r="G894" s="8" t="s">
        <v>783</v>
      </c>
      <c r="H894" s="8" t="s">
        <v>784</v>
      </c>
    </row>
    <row r="895" customFormat="false" ht="15" hidden="false" customHeight="false" outlineLevel="0" collapsed="false">
      <c r="A895" s="8" t="s">
        <v>3173</v>
      </c>
      <c r="B895" s="8" t="s">
        <v>3174</v>
      </c>
      <c r="C895" s="8" t="n">
        <v>2022</v>
      </c>
      <c r="D895" s="8" t="s">
        <v>58</v>
      </c>
      <c r="E895" s="8" t="s">
        <v>3175</v>
      </c>
      <c r="F895" s="8" t="s">
        <v>782</v>
      </c>
      <c r="G895" s="8" t="s">
        <v>895</v>
      </c>
      <c r="H895" s="8" t="s">
        <v>896</v>
      </c>
    </row>
    <row r="896" customFormat="false" ht="15" hidden="false" customHeight="false" outlineLevel="0" collapsed="false">
      <c r="A896" s="8" t="s">
        <v>3176</v>
      </c>
      <c r="B896" s="8" t="s">
        <v>3177</v>
      </c>
      <c r="C896" s="8" t="n">
        <v>2022</v>
      </c>
      <c r="D896" s="8" t="s">
        <v>74</v>
      </c>
      <c r="E896" s="8" t="s">
        <v>3178</v>
      </c>
      <c r="F896" s="8" t="s">
        <v>782</v>
      </c>
      <c r="G896" s="8" t="s">
        <v>801</v>
      </c>
      <c r="H896" s="8" t="s">
        <v>802</v>
      </c>
    </row>
    <row r="897" customFormat="false" ht="15" hidden="false" customHeight="false" outlineLevel="0" collapsed="false">
      <c r="A897" s="8" t="s">
        <v>3179</v>
      </c>
      <c r="B897" s="8" t="s">
        <v>3180</v>
      </c>
      <c r="C897" s="8" t="n">
        <v>2020</v>
      </c>
      <c r="D897" s="8" t="s">
        <v>83</v>
      </c>
      <c r="E897" s="8" t="s">
        <v>3181</v>
      </c>
      <c r="F897" s="8" t="s">
        <v>782</v>
      </c>
      <c r="G897" s="8" t="s">
        <v>783</v>
      </c>
      <c r="H897" s="8" t="s">
        <v>861</v>
      </c>
    </row>
    <row r="898" customFormat="false" ht="15" hidden="false" customHeight="false" outlineLevel="0" collapsed="false">
      <c r="A898" s="8" t="s">
        <v>3182</v>
      </c>
      <c r="B898" s="8" t="s">
        <v>3183</v>
      </c>
      <c r="C898" s="8" t="n">
        <v>2023</v>
      </c>
      <c r="D898" s="8" t="s">
        <v>58</v>
      </c>
      <c r="E898" s="8" t="s">
        <v>3184</v>
      </c>
      <c r="F898" s="8" t="s">
        <v>782</v>
      </c>
      <c r="G898" s="8" t="s">
        <v>783</v>
      </c>
      <c r="H898" s="8" t="s">
        <v>784</v>
      </c>
    </row>
    <row r="899" customFormat="false" ht="15" hidden="false" customHeight="false" outlineLevel="0" collapsed="false">
      <c r="A899" s="8" t="s">
        <v>3185</v>
      </c>
      <c r="B899" s="8" t="s">
        <v>3186</v>
      </c>
      <c r="C899" s="8" t="n">
        <v>2022</v>
      </c>
      <c r="D899" s="8" t="s">
        <v>58</v>
      </c>
      <c r="E899" s="8" t="s">
        <v>3187</v>
      </c>
      <c r="F899" s="8" t="s">
        <v>782</v>
      </c>
      <c r="G899" s="8" t="s">
        <v>783</v>
      </c>
      <c r="H899" s="8" t="s">
        <v>784</v>
      </c>
    </row>
    <row r="900" customFormat="false" ht="15" hidden="false" customHeight="false" outlineLevel="0" collapsed="false">
      <c r="A900" s="8" t="s">
        <v>3188</v>
      </c>
      <c r="B900" s="8" t="s">
        <v>3189</v>
      </c>
      <c r="C900" s="8" t="n">
        <v>2022</v>
      </c>
      <c r="D900" s="8" t="s">
        <v>83</v>
      </c>
      <c r="E900" s="8" t="s">
        <v>3190</v>
      </c>
      <c r="F900" s="8" t="s">
        <v>782</v>
      </c>
      <c r="G900" s="8" t="s">
        <v>801</v>
      </c>
      <c r="H900" s="8" t="s">
        <v>802</v>
      </c>
    </row>
    <row r="901" customFormat="false" ht="15" hidden="false" customHeight="false" outlineLevel="0" collapsed="false">
      <c r="A901" s="8" t="s">
        <v>3191</v>
      </c>
      <c r="B901" s="8" t="s">
        <v>3192</v>
      </c>
      <c r="C901" s="8" t="n">
        <v>2020</v>
      </c>
      <c r="D901" s="8" t="s">
        <v>58</v>
      </c>
      <c r="E901" s="8" t="s">
        <v>3193</v>
      </c>
      <c r="F901" s="8" t="s">
        <v>782</v>
      </c>
      <c r="G901" s="8" t="s">
        <v>801</v>
      </c>
      <c r="H901" s="8" t="s">
        <v>915</v>
      </c>
    </row>
    <row r="902" customFormat="false" ht="15" hidden="false" customHeight="false" outlineLevel="0" collapsed="false">
      <c r="A902" s="8" t="s">
        <v>3194</v>
      </c>
      <c r="B902" s="8" t="s">
        <v>3195</v>
      </c>
      <c r="C902" s="8" t="n">
        <v>2023</v>
      </c>
      <c r="D902" s="8" t="s">
        <v>58</v>
      </c>
      <c r="E902" s="8" t="s">
        <v>3196</v>
      </c>
      <c r="F902" s="8" t="s">
        <v>782</v>
      </c>
      <c r="G902" s="8" t="s">
        <v>783</v>
      </c>
      <c r="H902" s="8" t="s">
        <v>784</v>
      </c>
    </row>
    <row r="903" customFormat="false" ht="15" hidden="false" customHeight="false" outlineLevel="0" collapsed="false">
      <c r="A903" s="8" t="s">
        <v>3197</v>
      </c>
      <c r="B903" s="8" t="s">
        <v>3198</v>
      </c>
      <c r="C903" s="8" t="n">
        <v>2023</v>
      </c>
      <c r="D903" s="8" t="s">
        <v>58</v>
      </c>
      <c r="E903" s="8" t="s">
        <v>3199</v>
      </c>
      <c r="F903" s="8" t="s">
        <v>782</v>
      </c>
      <c r="G903" s="8" t="s">
        <v>783</v>
      </c>
      <c r="H903" s="8" t="s">
        <v>784</v>
      </c>
    </row>
    <row r="904" customFormat="false" ht="15" hidden="false" customHeight="false" outlineLevel="0" collapsed="false">
      <c r="A904" s="8" t="s">
        <v>3200</v>
      </c>
      <c r="B904" s="8" t="s">
        <v>3201</v>
      </c>
      <c r="C904" s="8" t="n">
        <v>2022</v>
      </c>
      <c r="D904" s="8" t="s">
        <v>58</v>
      </c>
      <c r="E904" s="8" t="s">
        <v>3202</v>
      </c>
      <c r="F904" s="8" t="s">
        <v>782</v>
      </c>
      <c r="G904" s="8" t="s">
        <v>895</v>
      </c>
      <c r="H904" s="8" t="s">
        <v>896</v>
      </c>
    </row>
    <row r="905" customFormat="false" ht="15" hidden="false" customHeight="false" outlineLevel="0" collapsed="false">
      <c r="A905" s="8" t="s">
        <v>406</v>
      </c>
      <c r="B905" s="8" t="s">
        <v>408</v>
      </c>
      <c r="C905" s="8" t="n">
        <v>2023</v>
      </c>
      <c r="D905" s="8" t="s">
        <v>58</v>
      </c>
      <c r="E905" s="8" t="s">
        <v>409</v>
      </c>
      <c r="F905" s="8" t="s">
        <v>852</v>
      </c>
      <c r="G905" s="8" t="s">
        <v>853</v>
      </c>
      <c r="H905" s="8" t="s">
        <v>854</v>
      </c>
    </row>
    <row r="906" customFormat="false" ht="15" hidden="false" customHeight="false" outlineLevel="0" collapsed="false">
      <c r="A906" s="8" t="s">
        <v>3203</v>
      </c>
      <c r="B906" s="8" t="s">
        <v>3204</v>
      </c>
      <c r="C906" s="8" t="n">
        <v>2019</v>
      </c>
      <c r="D906" s="8" t="s">
        <v>58</v>
      </c>
      <c r="E906" s="8" t="s">
        <v>3205</v>
      </c>
      <c r="F906" s="8" t="s">
        <v>782</v>
      </c>
      <c r="G906" s="8" t="s">
        <v>783</v>
      </c>
      <c r="H906" s="8" t="s">
        <v>784</v>
      </c>
    </row>
    <row r="907" customFormat="false" ht="15" hidden="false" customHeight="false" outlineLevel="0" collapsed="false">
      <c r="A907" s="8" t="s">
        <v>400</v>
      </c>
      <c r="B907" s="8" t="s">
        <v>402</v>
      </c>
      <c r="C907" s="8" t="n">
        <v>2023</v>
      </c>
      <c r="D907" s="8" t="s">
        <v>58</v>
      </c>
      <c r="E907" s="8" t="s">
        <v>404</v>
      </c>
      <c r="F907" s="8" t="s">
        <v>852</v>
      </c>
      <c r="G907" s="8" t="s">
        <v>853</v>
      </c>
      <c r="H907" s="8" t="s">
        <v>854</v>
      </c>
    </row>
    <row r="908" customFormat="false" ht="15" hidden="false" customHeight="false" outlineLevel="0" collapsed="false">
      <c r="A908" s="8" t="s">
        <v>3206</v>
      </c>
      <c r="B908" s="8" t="s">
        <v>3207</v>
      </c>
      <c r="C908" s="8" t="n">
        <v>2023</v>
      </c>
      <c r="D908" s="8" t="s">
        <v>83</v>
      </c>
      <c r="E908" s="8" t="s">
        <v>3208</v>
      </c>
      <c r="F908" s="8" t="s">
        <v>782</v>
      </c>
      <c r="G908" s="8" t="s">
        <v>783</v>
      </c>
      <c r="H908" s="8" t="s">
        <v>784</v>
      </c>
    </row>
    <row r="909" customFormat="false" ht="15" hidden="false" customHeight="false" outlineLevel="0" collapsed="false">
      <c r="A909" s="8" t="s">
        <v>3209</v>
      </c>
      <c r="B909" s="8" t="s">
        <v>3210</v>
      </c>
      <c r="C909" s="8" t="n">
        <v>2021</v>
      </c>
      <c r="D909" s="8" t="s">
        <v>58</v>
      </c>
      <c r="E909" s="8" t="s">
        <v>3211</v>
      </c>
      <c r="F909" s="8" t="s">
        <v>782</v>
      </c>
      <c r="G909" s="8" t="s">
        <v>783</v>
      </c>
      <c r="H909" s="8" t="s">
        <v>784</v>
      </c>
    </row>
    <row r="910" customFormat="false" ht="15" hidden="false" customHeight="false" outlineLevel="0" collapsed="false">
      <c r="A910" s="8" t="s">
        <v>3212</v>
      </c>
      <c r="B910" s="8" t="s">
        <v>3213</v>
      </c>
      <c r="C910" s="8" t="n">
        <v>2021</v>
      </c>
      <c r="D910" s="8" t="s">
        <v>83</v>
      </c>
      <c r="E910" s="8" t="s">
        <v>3214</v>
      </c>
      <c r="F910" s="8" t="s">
        <v>782</v>
      </c>
      <c r="G910" s="8" t="s">
        <v>783</v>
      </c>
      <c r="H910" s="8" t="s">
        <v>784</v>
      </c>
    </row>
    <row r="911" customFormat="false" ht="15" hidden="false" customHeight="false" outlineLevel="0" collapsed="false">
      <c r="A911" s="8" t="s">
        <v>3215</v>
      </c>
      <c r="B911" s="8" t="s">
        <v>3216</v>
      </c>
      <c r="C911" s="8" t="n">
        <v>2023</v>
      </c>
      <c r="D911" s="8" t="s">
        <v>58</v>
      </c>
      <c r="E911" s="8" t="s">
        <v>3217</v>
      </c>
      <c r="F911" s="8" t="s">
        <v>782</v>
      </c>
      <c r="G911" s="8" t="s">
        <v>783</v>
      </c>
      <c r="H911" s="8" t="s">
        <v>784</v>
      </c>
    </row>
    <row r="912" customFormat="false" ht="15" hidden="false" customHeight="false" outlineLevel="0" collapsed="false">
      <c r="A912" s="8" t="s">
        <v>472</v>
      </c>
      <c r="B912" s="8" t="s">
        <v>474</v>
      </c>
      <c r="C912" s="8" t="n">
        <v>2022</v>
      </c>
      <c r="D912" s="8" t="s">
        <v>58</v>
      </c>
      <c r="E912" s="8" t="s">
        <v>475</v>
      </c>
      <c r="F912" s="8" t="s">
        <v>852</v>
      </c>
      <c r="G912" s="8" t="s">
        <v>853</v>
      </c>
      <c r="H912" s="8" t="s">
        <v>854</v>
      </c>
    </row>
    <row r="913" customFormat="false" ht="15" hidden="false" customHeight="false" outlineLevel="0" collapsed="false">
      <c r="A913" s="8" t="s">
        <v>3218</v>
      </c>
      <c r="B913" s="8" t="s">
        <v>3219</v>
      </c>
      <c r="C913" s="8" t="n">
        <v>2019</v>
      </c>
      <c r="D913" s="8" t="s">
        <v>58</v>
      </c>
      <c r="E913" s="8" t="s">
        <v>3220</v>
      </c>
      <c r="F913" s="8" t="s">
        <v>782</v>
      </c>
      <c r="G913" s="8" t="s">
        <v>895</v>
      </c>
      <c r="H913" s="8" t="s">
        <v>896</v>
      </c>
    </row>
    <row r="914" customFormat="false" ht="15" hidden="false" customHeight="false" outlineLevel="0" collapsed="false">
      <c r="A914" s="8" t="s">
        <v>3221</v>
      </c>
      <c r="B914" s="8" t="s">
        <v>3222</v>
      </c>
      <c r="C914" s="8" t="n">
        <v>2019</v>
      </c>
      <c r="D914" s="8" t="s">
        <v>58</v>
      </c>
      <c r="E914" s="8" t="s">
        <v>3223</v>
      </c>
      <c r="F914" s="8" t="s">
        <v>782</v>
      </c>
      <c r="G914" s="8" t="s">
        <v>801</v>
      </c>
      <c r="H914" s="8" t="s">
        <v>915</v>
      </c>
    </row>
    <row r="915" customFormat="false" ht="15" hidden="false" customHeight="false" outlineLevel="0" collapsed="false">
      <c r="A915" s="8" t="s">
        <v>527</v>
      </c>
      <c r="B915" s="8" t="s">
        <v>529</v>
      </c>
      <c r="C915" s="8" t="n">
        <v>2021</v>
      </c>
      <c r="D915" s="8" t="s">
        <v>83</v>
      </c>
      <c r="E915" s="8" t="s">
        <v>531</v>
      </c>
      <c r="F915" s="8" t="s">
        <v>852</v>
      </c>
      <c r="G915" s="8" t="s">
        <v>853</v>
      </c>
      <c r="H915" s="8" t="s">
        <v>854</v>
      </c>
    </row>
    <row r="916" customFormat="false" ht="15" hidden="false" customHeight="false" outlineLevel="0" collapsed="false">
      <c r="A916" s="8" t="s">
        <v>3224</v>
      </c>
      <c r="B916" s="8" t="s">
        <v>3225</v>
      </c>
      <c r="C916" s="8" t="n">
        <v>2021</v>
      </c>
      <c r="D916" s="8" t="s">
        <v>58</v>
      </c>
      <c r="E916" s="8" t="s">
        <v>3226</v>
      </c>
      <c r="F916" s="8" t="s">
        <v>782</v>
      </c>
      <c r="G916" s="8" t="s">
        <v>783</v>
      </c>
      <c r="H916" s="8" t="s">
        <v>784</v>
      </c>
    </row>
    <row r="917" customFormat="false" ht="15" hidden="false" customHeight="false" outlineLevel="0" collapsed="false">
      <c r="A917" s="8" t="s">
        <v>3227</v>
      </c>
      <c r="B917" s="8" t="s">
        <v>3228</v>
      </c>
      <c r="C917" s="8" t="n">
        <v>2022</v>
      </c>
      <c r="D917" s="8" t="s">
        <v>58</v>
      </c>
      <c r="E917" s="8" t="s">
        <v>3229</v>
      </c>
      <c r="F917" s="8" t="s">
        <v>782</v>
      </c>
      <c r="G917" s="8" t="s">
        <v>783</v>
      </c>
      <c r="H917" s="8" t="s">
        <v>784</v>
      </c>
    </row>
    <row r="918" customFormat="false" ht="15" hidden="false" customHeight="false" outlineLevel="0" collapsed="false">
      <c r="A918" s="8" t="s">
        <v>3230</v>
      </c>
      <c r="B918" s="8" t="s">
        <v>3231</v>
      </c>
      <c r="C918" s="8" t="n">
        <v>2019</v>
      </c>
      <c r="D918" s="8" t="s">
        <v>58</v>
      </c>
      <c r="E918" s="8"/>
      <c r="F918" s="8" t="s">
        <v>782</v>
      </c>
      <c r="G918" s="8" t="s">
        <v>783</v>
      </c>
      <c r="H918" s="8" t="s">
        <v>784</v>
      </c>
    </row>
    <row r="919" customFormat="false" ht="15" hidden="false" customHeight="false" outlineLevel="0" collapsed="false">
      <c r="A919" s="8" t="s">
        <v>3232</v>
      </c>
      <c r="B919" s="8" t="s">
        <v>3233</v>
      </c>
      <c r="C919" s="8" t="n">
        <v>2022</v>
      </c>
      <c r="D919" s="8" t="s">
        <v>58</v>
      </c>
      <c r="E919" s="8" t="s">
        <v>3234</v>
      </c>
      <c r="F919" s="8" t="s">
        <v>782</v>
      </c>
      <c r="G919" s="8" t="s">
        <v>783</v>
      </c>
      <c r="H919" s="8" t="s">
        <v>861</v>
      </c>
    </row>
    <row r="920" customFormat="false" ht="15" hidden="false" customHeight="false" outlineLevel="0" collapsed="false">
      <c r="A920" s="8" t="s">
        <v>3235</v>
      </c>
      <c r="B920" s="8" t="s">
        <v>3236</v>
      </c>
      <c r="C920" s="8" t="n">
        <v>2019</v>
      </c>
      <c r="D920" s="8" t="s">
        <v>58</v>
      </c>
      <c r="E920" s="8" t="s">
        <v>3237</v>
      </c>
      <c r="F920" s="8" t="s">
        <v>782</v>
      </c>
      <c r="G920" s="8" t="s">
        <v>783</v>
      </c>
      <c r="H920" s="8" t="s">
        <v>784</v>
      </c>
    </row>
    <row r="921" customFormat="false" ht="15" hidden="false" customHeight="false" outlineLevel="0" collapsed="false">
      <c r="A921" s="8" t="s">
        <v>3238</v>
      </c>
      <c r="B921" s="8" t="s">
        <v>3239</v>
      </c>
      <c r="C921" s="8" t="n">
        <v>2019</v>
      </c>
      <c r="D921" s="8" t="s">
        <v>58</v>
      </c>
      <c r="E921" s="8" t="s">
        <v>3240</v>
      </c>
      <c r="F921" s="8" t="s">
        <v>782</v>
      </c>
      <c r="G921" s="8" t="s">
        <v>801</v>
      </c>
      <c r="H921" s="8" t="s">
        <v>915</v>
      </c>
    </row>
    <row r="922" customFormat="false" ht="15" hidden="false" customHeight="false" outlineLevel="0" collapsed="false">
      <c r="A922" s="8" t="s">
        <v>3241</v>
      </c>
      <c r="B922" s="8" t="s">
        <v>3242</v>
      </c>
      <c r="C922" s="8" t="n">
        <v>2021</v>
      </c>
      <c r="D922" s="8" t="s">
        <v>83</v>
      </c>
      <c r="E922" s="8" t="s">
        <v>3243</v>
      </c>
      <c r="F922" s="8" t="s">
        <v>782</v>
      </c>
      <c r="G922" s="8" t="s">
        <v>783</v>
      </c>
      <c r="H922" s="8" t="s">
        <v>784</v>
      </c>
    </row>
    <row r="923" customFormat="false" ht="15" hidden="false" customHeight="false" outlineLevel="0" collapsed="false">
      <c r="A923" s="8" t="s">
        <v>3244</v>
      </c>
      <c r="B923" s="8" t="s">
        <v>3245</v>
      </c>
      <c r="C923" s="8" t="n">
        <v>2021</v>
      </c>
      <c r="D923" s="8" t="s">
        <v>58</v>
      </c>
      <c r="E923" s="8" t="s">
        <v>3246</v>
      </c>
      <c r="F923" s="8" t="s">
        <v>782</v>
      </c>
      <c r="G923" s="8" t="s">
        <v>783</v>
      </c>
      <c r="H923" s="8" t="s">
        <v>784</v>
      </c>
    </row>
    <row r="924" customFormat="false" ht="15" hidden="false" customHeight="false" outlineLevel="0" collapsed="false">
      <c r="A924" s="8" t="s">
        <v>588</v>
      </c>
      <c r="B924" s="8" t="s">
        <v>589</v>
      </c>
      <c r="C924" s="8" t="n">
        <v>2019</v>
      </c>
      <c r="D924" s="8" t="s">
        <v>58</v>
      </c>
      <c r="E924" s="8" t="s">
        <v>590</v>
      </c>
      <c r="F924" s="8" t="s">
        <v>852</v>
      </c>
      <c r="G924" s="8" t="s">
        <v>853</v>
      </c>
      <c r="H924" s="8" t="s">
        <v>854</v>
      </c>
    </row>
    <row r="925" customFormat="false" ht="15" hidden="false" customHeight="false" outlineLevel="0" collapsed="false">
      <c r="A925" s="8" t="s">
        <v>3247</v>
      </c>
      <c r="B925" s="8" t="s">
        <v>3248</v>
      </c>
      <c r="C925" s="8" t="n">
        <v>2020</v>
      </c>
      <c r="D925" s="8" t="s">
        <v>58</v>
      </c>
      <c r="E925" s="8" t="s">
        <v>3249</v>
      </c>
      <c r="F925" s="8" t="s">
        <v>782</v>
      </c>
      <c r="G925" s="8" t="s">
        <v>783</v>
      </c>
      <c r="H925" s="8" t="s">
        <v>784</v>
      </c>
    </row>
    <row r="926" customFormat="false" ht="15" hidden="false" customHeight="false" outlineLevel="0" collapsed="false">
      <c r="A926" s="8" t="s">
        <v>3250</v>
      </c>
      <c r="B926" s="8" t="s">
        <v>3251</v>
      </c>
      <c r="C926" s="8" t="n">
        <v>2019</v>
      </c>
      <c r="D926" s="8" t="s">
        <v>58</v>
      </c>
      <c r="E926" s="8" t="s">
        <v>3252</v>
      </c>
      <c r="F926" s="8" t="s">
        <v>782</v>
      </c>
      <c r="G926" s="8" t="s">
        <v>783</v>
      </c>
      <c r="H926" s="8" t="s">
        <v>861</v>
      </c>
    </row>
    <row r="927" customFormat="false" ht="15" hidden="false" customHeight="false" outlineLevel="0" collapsed="false">
      <c r="A927" s="8" t="s">
        <v>3253</v>
      </c>
      <c r="B927" s="8" t="s">
        <v>3254</v>
      </c>
      <c r="C927" s="8" t="n">
        <v>2020</v>
      </c>
      <c r="D927" s="8" t="s">
        <v>83</v>
      </c>
      <c r="E927" s="8" t="s">
        <v>3255</v>
      </c>
      <c r="F927" s="8" t="s">
        <v>782</v>
      </c>
      <c r="G927" s="8" t="s">
        <v>783</v>
      </c>
      <c r="H927" s="8" t="s">
        <v>784</v>
      </c>
    </row>
    <row r="928" customFormat="false" ht="15" hidden="false" customHeight="false" outlineLevel="0" collapsed="false">
      <c r="A928" s="8" t="s">
        <v>3256</v>
      </c>
      <c r="B928" s="8" t="s">
        <v>3257</v>
      </c>
      <c r="C928" s="8" t="n">
        <v>2022</v>
      </c>
      <c r="D928" s="8" t="s">
        <v>58</v>
      </c>
      <c r="E928" s="8"/>
      <c r="F928" s="8" t="s">
        <v>782</v>
      </c>
      <c r="G928" s="8" t="s">
        <v>783</v>
      </c>
      <c r="H928" s="8" t="s">
        <v>784</v>
      </c>
    </row>
    <row r="929" customFormat="false" ht="15" hidden="false" customHeight="false" outlineLevel="0" collapsed="false">
      <c r="A929" s="8" t="s">
        <v>3258</v>
      </c>
      <c r="B929" s="8" t="s">
        <v>3259</v>
      </c>
      <c r="C929" s="8" t="n">
        <v>2023</v>
      </c>
      <c r="D929" s="8" t="s">
        <v>58</v>
      </c>
      <c r="E929" s="8" t="s">
        <v>3260</v>
      </c>
      <c r="F929" s="8" t="s">
        <v>782</v>
      </c>
      <c r="G929" s="8" t="s">
        <v>783</v>
      </c>
      <c r="H929" s="8" t="s">
        <v>784</v>
      </c>
    </row>
    <row r="930" customFormat="false" ht="15" hidden="false" customHeight="false" outlineLevel="0" collapsed="false">
      <c r="A930" s="8" t="s">
        <v>3261</v>
      </c>
      <c r="B930" s="8" t="s">
        <v>3262</v>
      </c>
      <c r="C930" s="8" t="n">
        <v>2021</v>
      </c>
      <c r="D930" s="8" t="s">
        <v>58</v>
      </c>
      <c r="E930" s="8" t="s">
        <v>3263</v>
      </c>
      <c r="F930" s="8" t="s">
        <v>782</v>
      </c>
      <c r="G930" s="8" t="s">
        <v>783</v>
      </c>
      <c r="H930" s="8" t="s">
        <v>784</v>
      </c>
    </row>
    <row r="931" customFormat="false" ht="15" hidden="false" customHeight="false" outlineLevel="0" collapsed="false">
      <c r="A931" s="8" t="s">
        <v>3264</v>
      </c>
      <c r="B931" s="8" t="s">
        <v>3265</v>
      </c>
      <c r="C931" s="8" t="n">
        <v>2022</v>
      </c>
      <c r="D931" s="8" t="s">
        <v>58</v>
      </c>
      <c r="E931" s="8" t="s">
        <v>3266</v>
      </c>
      <c r="F931" s="8" t="s">
        <v>782</v>
      </c>
      <c r="G931" s="8" t="s">
        <v>783</v>
      </c>
      <c r="H931" s="8" t="s">
        <v>784</v>
      </c>
    </row>
    <row r="932" customFormat="false" ht="15" hidden="false" customHeight="false" outlineLevel="0" collapsed="false">
      <c r="A932" s="8" t="s">
        <v>3267</v>
      </c>
      <c r="B932" s="8" t="s">
        <v>3268</v>
      </c>
      <c r="C932" s="8" t="n">
        <v>2022</v>
      </c>
      <c r="D932" s="8" t="s">
        <v>58</v>
      </c>
      <c r="E932" s="8" t="s">
        <v>3269</v>
      </c>
      <c r="F932" s="8" t="s">
        <v>782</v>
      </c>
      <c r="G932" s="8" t="s">
        <v>783</v>
      </c>
      <c r="H932" s="8" t="s">
        <v>861</v>
      </c>
    </row>
    <row r="933" customFormat="false" ht="15" hidden="false" customHeight="false" outlineLevel="0" collapsed="false">
      <c r="A933" s="8" t="s">
        <v>3270</v>
      </c>
      <c r="B933" s="8" t="s">
        <v>3271</v>
      </c>
      <c r="C933" s="8" t="n">
        <v>2020</v>
      </c>
      <c r="D933" s="8" t="s">
        <v>58</v>
      </c>
      <c r="E933" s="8" t="s">
        <v>3272</v>
      </c>
      <c r="F933" s="8" t="s">
        <v>782</v>
      </c>
      <c r="G933" s="8" t="s">
        <v>801</v>
      </c>
      <c r="H933" s="8" t="s">
        <v>802</v>
      </c>
    </row>
    <row r="934" customFormat="false" ht="15" hidden="false" customHeight="false" outlineLevel="0" collapsed="false">
      <c r="A934" s="8" t="s">
        <v>3273</v>
      </c>
      <c r="B934" s="8" t="s">
        <v>3274</v>
      </c>
      <c r="C934" s="8" t="n">
        <v>2019</v>
      </c>
      <c r="D934" s="8" t="s">
        <v>58</v>
      </c>
      <c r="E934" s="8" t="s">
        <v>3275</v>
      </c>
      <c r="F934" s="8" t="s">
        <v>782</v>
      </c>
      <c r="G934" s="8" t="s">
        <v>783</v>
      </c>
      <c r="H934" s="8" t="s">
        <v>784</v>
      </c>
    </row>
    <row r="935" customFormat="false" ht="15" hidden="false" customHeight="false" outlineLevel="0" collapsed="false">
      <c r="A935" s="8" t="s">
        <v>3276</v>
      </c>
      <c r="B935" s="8" t="s">
        <v>3277</v>
      </c>
      <c r="C935" s="8" t="n">
        <v>2021</v>
      </c>
      <c r="D935" s="8" t="s">
        <v>83</v>
      </c>
      <c r="E935" s="8" t="s">
        <v>3278</v>
      </c>
      <c r="F935" s="8" t="s">
        <v>782</v>
      </c>
      <c r="G935" s="8" t="s">
        <v>783</v>
      </c>
      <c r="H935" s="8" t="s">
        <v>784</v>
      </c>
    </row>
    <row r="936" customFormat="false" ht="15" hidden="false" customHeight="false" outlineLevel="0" collapsed="false">
      <c r="A936" s="8" t="s">
        <v>3279</v>
      </c>
      <c r="B936" s="8" t="s">
        <v>3280</v>
      </c>
      <c r="C936" s="8" t="n">
        <v>2022</v>
      </c>
      <c r="D936" s="8" t="s">
        <v>83</v>
      </c>
      <c r="E936" s="8" t="s">
        <v>3281</v>
      </c>
      <c r="F936" s="8" t="s">
        <v>782</v>
      </c>
      <c r="G936" s="8" t="s">
        <v>783</v>
      </c>
      <c r="H936" s="8" t="s">
        <v>784</v>
      </c>
    </row>
    <row r="937" customFormat="false" ht="15" hidden="false" customHeight="false" outlineLevel="0" collapsed="false">
      <c r="A937" s="8" t="s">
        <v>3282</v>
      </c>
      <c r="B937" s="8" t="s">
        <v>3283</v>
      </c>
      <c r="C937" s="8" t="n">
        <v>2023</v>
      </c>
      <c r="D937" s="8" t="s">
        <v>83</v>
      </c>
      <c r="E937" s="8"/>
      <c r="F937" s="8" t="s">
        <v>782</v>
      </c>
      <c r="G937" s="8" t="s">
        <v>783</v>
      </c>
      <c r="H937" s="8" t="s">
        <v>784</v>
      </c>
    </row>
    <row r="938" customFormat="false" ht="15" hidden="false" customHeight="false" outlineLevel="0" collapsed="false">
      <c r="A938" s="8" t="s">
        <v>3284</v>
      </c>
      <c r="B938" s="8" t="s">
        <v>3285</v>
      </c>
      <c r="C938" s="8" t="n">
        <v>2019</v>
      </c>
      <c r="D938" s="8" t="s">
        <v>58</v>
      </c>
      <c r="E938" s="8" t="s">
        <v>3286</v>
      </c>
      <c r="F938" s="8" t="s">
        <v>782</v>
      </c>
      <c r="G938" s="8" t="s">
        <v>801</v>
      </c>
      <c r="H938" s="8" t="s">
        <v>915</v>
      </c>
    </row>
    <row r="939" customFormat="false" ht="15" hidden="false" customHeight="false" outlineLevel="0" collapsed="false">
      <c r="A939" s="8" t="s">
        <v>3287</v>
      </c>
      <c r="B939" s="8" t="s">
        <v>3288</v>
      </c>
      <c r="C939" s="8" t="n">
        <v>2023</v>
      </c>
      <c r="D939" s="8" t="s">
        <v>90</v>
      </c>
      <c r="E939" s="8" t="s">
        <v>3289</v>
      </c>
      <c r="F939" s="8" t="s">
        <v>782</v>
      </c>
      <c r="G939" s="8" t="s">
        <v>783</v>
      </c>
      <c r="H939" s="8" t="s">
        <v>784</v>
      </c>
    </row>
    <row r="940" customFormat="false" ht="15" hidden="false" customHeight="false" outlineLevel="0" collapsed="false">
      <c r="A940" s="8" t="s">
        <v>3290</v>
      </c>
      <c r="B940" s="8" t="s">
        <v>3291</v>
      </c>
      <c r="C940" s="8" t="n">
        <v>2022</v>
      </c>
      <c r="D940" s="8" t="s">
        <v>58</v>
      </c>
      <c r="E940" s="8" t="s">
        <v>3292</v>
      </c>
      <c r="F940" s="8" t="s">
        <v>782</v>
      </c>
      <c r="G940" s="8" t="s">
        <v>895</v>
      </c>
      <c r="H940" s="8" t="s">
        <v>896</v>
      </c>
    </row>
    <row r="941" customFormat="false" ht="15" hidden="false" customHeight="false" outlineLevel="0" collapsed="false">
      <c r="A941" s="8" t="s">
        <v>3293</v>
      </c>
      <c r="B941" s="8" t="s">
        <v>3294</v>
      </c>
      <c r="C941" s="8" t="n">
        <v>2020</v>
      </c>
      <c r="D941" s="8" t="s">
        <v>58</v>
      </c>
      <c r="E941" s="8" t="s">
        <v>3295</v>
      </c>
      <c r="F941" s="8" t="s">
        <v>782</v>
      </c>
      <c r="G941" s="8" t="s">
        <v>801</v>
      </c>
      <c r="H941" s="8" t="s">
        <v>915</v>
      </c>
    </row>
    <row r="942" customFormat="false" ht="15" hidden="false" customHeight="false" outlineLevel="0" collapsed="false">
      <c r="A942" s="8" t="s">
        <v>3296</v>
      </c>
      <c r="B942" s="8" t="s">
        <v>3297</v>
      </c>
      <c r="C942" s="8" t="n">
        <v>2019</v>
      </c>
      <c r="D942" s="8" t="s">
        <v>58</v>
      </c>
      <c r="E942" s="8" t="s">
        <v>3298</v>
      </c>
      <c r="F942" s="8" t="s">
        <v>782</v>
      </c>
      <c r="G942" s="8" t="s">
        <v>783</v>
      </c>
      <c r="H942" s="8" t="s">
        <v>784</v>
      </c>
    </row>
    <row r="943" customFormat="false" ht="15" hidden="false" customHeight="false" outlineLevel="0" collapsed="false">
      <c r="A943" s="8" t="s">
        <v>3299</v>
      </c>
      <c r="B943" s="8" t="s">
        <v>3300</v>
      </c>
      <c r="C943" s="8" t="n">
        <v>2022</v>
      </c>
      <c r="D943" s="8" t="s">
        <v>58</v>
      </c>
      <c r="E943" s="8" t="s">
        <v>3301</v>
      </c>
      <c r="F943" s="8" t="s">
        <v>782</v>
      </c>
      <c r="G943" s="8" t="s">
        <v>783</v>
      </c>
      <c r="H943" s="8" t="s">
        <v>784</v>
      </c>
    </row>
    <row r="944" customFormat="false" ht="15" hidden="false" customHeight="false" outlineLevel="0" collapsed="false">
      <c r="A944" s="8" t="s">
        <v>3302</v>
      </c>
      <c r="B944" s="8" t="s">
        <v>3303</v>
      </c>
      <c r="C944" s="8" t="n">
        <v>2022</v>
      </c>
      <c r="D944" s="8" t="s">
        <v>83</v>
      </c>
      <c r="E944" s="8" t="s">
        <v>3304</v>
      </c>
      <c r="F944" s="8" t="s">
        <v>782</v>
      </c>
      <c r="G944" s="8" t="s">
        <v>801</v>
      </c>
      <c r="H944" s="8" t="s">
        <v>802</v>
      </c>
    </row>
    <row r="945" customFormat="false" ht="15" hidden="false" customHeight="false" outlineLevel="0" collapsed="false">
      <c r="A945" s="8" t="s">
        <v>3305</v>
      </c>
      <c r="B945" s="8" t="s">
        <v>3306</v>
      </c>
      <c r="C945" s="8" t="n">
        <v>2019</v>
      </c>
      <c r="D945" s="8" t="s">
        <v>58</v>
      </c>
      <c r="E945" s="8" t="s">
        <v>3307</v>
      </c>
      <c r="F945" s="8" t="s">
        <v>782</v>
      </c>
      <c r="G945" s="8" t="s">
        <v>783</v>
      </c>
      <c r="H945" s="8" t="s">
        <v>784</v>
      </c>
    </row>
    <row r="946" customFormat="false" ht="15" hidden="false" customHeight="false" outlineLevel="0" collapsed="false">
      <c r="A946" s="8" t="s">
        <v>3308</v>
      </c>
      <c r="B946" s="8" t="s">
        <v>3309</v>
      </c>
      <c r="C946" s="8" t="n">
        <v>2023</v>
      </c>
      <c r="D946" s="8" t="s">
        <v>58</v>
      </c>
      <c r="E946" s="8" t="s">
        <v>3310</v>
      </c>
      <c r="F946" s="8" t="s">
        <v>782</v>
      </c>
      <c r="G946" s="8" t="s">
        <v>783</v>
      </c>
      <c r="H946" s="8" t="s">
        <v>784</v>
      </c>
    </row>
    <row r="947" customFormat="false" ht="15" hidden="false" customHeight="false" outlineLevel="0" collapsed="false">
      <c r="A947" s="8" t="s">
        <v>3311</v>
      </c>
      <c r="B947" s="8" t="s">
        <v>3312</v>
      </c>
      <c r="C947" s="8" t="n">
        <v>2023</v>
      </c>
      <c r="D947" s="8" t="s">
        <v>83</v>
      </c>
      <c r="E947" s="8" t="s">
        <v>3313</v>
      </c>
      <c r="F947" s="8" t="s">
        <v>782</v>
      </c>
      <c r="G947" s="8" t="s">
        <v>895</v>
      </c>
      <c r="H947" s="8" t="s">
        <v>896</v>
      </c>
    </row>
    <row r="948" customFormat="false" ht="15" hidden="false" customHeight="false" outlineLevel="0" collapsed="false">
      <c r="A948" s="8" t="s">
        <v>3314</v>
      </c>
      <c r="B948" s="8" t="s">
        <v>3315</v>
      </c>
      <c r="C948" s="8" t="n">
        <v>2023</v>
      </c>
      <c r="D948" s="8" t="s">
        <v>58</v>
      </c>
      <c r="E948" s="8" t="s">
        <v>3316</v>
      </c>
      <c r="F948" s="8" t="s">
        <v>782</v>
      </c>
      <c r="G948" s="8" t="s">
        <v>783</v>
      </c>
      <c r="H948" s="8" t="s">
        <v>784</v>
      </c>
    </row>
    <row r="949" customFormat="false" ht="15" hidden="false" customHeight="false" outlineLevel="0" collapsed="false">
      <c r="A949" s="8" t="s">
        <v>3317</v>
      </c>
      <c r="B949" s="8" t="s">
        <v>3318</v>
      </c>
      <c r="C949" s="8" t="n">
        <v>2020</v>
      </c>
      <c r="D949" s="8" t="s">
        <v>58</v>
      </c>
      <c r="E949" s="8" t="s">
        <v>3319</v>
      </c>
      <c r="F949" s="8" t="s">
        <v>782</v>
      </c>
      <c r="G949" s="8" t="s">
        <v>801</v>
      </c>
      <c r="H949" s="8" t="s">
        <v>915</v>
      </c>
    </row>
    <row r="950" customFormat="false" ht="15" hidden="false" customHeight="false" outlineLevel="0" collapsed="false">
      <c r="A950" s="8" t="s">
        <v>3320</v>
      </c>
      <c r="B950" s="8" t="s">
        <v>3321</v>
      </c>
      <c r="C950" s="8" t="n">
        <v>2023</v>
      </c>
      <c r="D950" s="8" t="s">
        <v>58</v>
      </c>
      <c r="E950" s="8" t="s">
        <v>3322</v>
      </c>
      <c r="F950" s="8" t="s">
        <v>782</v>
      </c>
      <c r="G950" s="8" t="s">
        <v>783</v>
      </c>
      <c r="H950" s="8" t="s">
        <v>784</v>
      </c>
    </row>
    <row r="951" customFormat="false" ht="15" hidden="false" customHeight="false" outlineLevel="0" collapsed="false">
      <c r="A951" s="8" t="s">
        <v>3323</v>
      </c>
      <c r="B951" s="8" t="s">
        <v>3324</v>
      </c>
      <c r="C951" s="8" t="n">
        <v>2019</v>
      </c>
      <c r="D951" s="8" t="s">
        <v>58</v>
      </c>
      <c r="E951" s="8" t="s">
        <v>3325</v>
      </c>
      <c r="F951" s="8" t="s">
        <v>782</v>
      </c>
      <c r="G951" s="8" t="s">
        <v>783</v>
      </c>
      <c r="H951" s="8" t="s">
        <v>784</v>
      </c>
    </row>
    <row r="952" customFormat="false" ht="15" hidden="false" customHeight="false" outlineLevel="0" collapsed="false">
      <c r="A952" s="8" t="s">
        <v>3326</v>
      </c>
      <c r="B952" s="8" t="s">
        <v>3327</v>
      </c>
      <c r="C952" s="8" t="n">
        <v>2023</v>
      </c>
      <c r="D952" s="8" t="s">
        <v>58</v>
      </c>
      <c r="E952" s="8" t="s">
        <v>3328</v>
      </c>
      <c r="F952" s="8" t="s">
        <v>782</v>
      </c>
      <c r="G952" s="8" t="s">
        <v>895</v>
      </c>
      <c r="H952" s="8" t="s">
        <v>896</v>
      </c>
    </row>
    <row r="953" customFormat="false" ht="15" hidden="false" customHeight="false" outlineLevel="0" collapsed="false">
      <c r="A953" s="8" t="s">
        <v>3329</v>
      </c>
      <c r="B953" s="8" t="s">
        <v>3330</v>
      </c>
      <c r="C953" s="8" t="n">
        <v>2023</v>
      </c>
      <c r="D953" s="8" t="s">
        <v>58</v>
      </c>
      <c r="E953" s="8" t="s">
        <v>3331</v>
      </c>
      <c r="F953" s="8" t="s">
        <v>782</v>
      </c>
      <c r="G953" s="8" t="s">
        <v>783</v>
      </c>
      <c r="H953" s="8" t="s">
        <v>861</v>
      </c>
    </row>
    <row r="954" customFormat="false" ht="15" hidden="false" customHeight="false" outlineLevel="0" collapsed="false">
      <c r="A954" s="8" t="s">
        <v>661</v>
      </c>
      <c r="B954" s="8" t="s">
        <v>663</v>
      </c>
      <c r="C954" s="8" t="n">
        <v>2018</v>
      </c>
      <c r="D954" s="8" t="s">
        <v>58</v>
      </c>
      <c r="E954" s="8" t="s">
        <v>664</v>
      </c>
      <c r="F954" s="8" t="s">
        <v>852</v>
      </c>
      <c r="G954" s="8" t="s">
        <v>853</v>
      </c>
      <c r="H954" s="8" t="s">
        <v>854</v>
      </c>
    </row>
    <row r="955" customFormat="false" ht="15" hidden="false" customHeight="false" outlineLevel="0" collapsed="false">
      <c r="A955" s="8" t="s">
        <v>3332</v>
      </c>
      <c r="B955" s="8" t="s">
        <v>3333</v>
      </c>
      <c r="C955" s="8" t="n">
        <v>2012</v>
      </c>
      <c r="D955" s="8" t="s">
        <v>58</v>
      </c>
      <c r="E955" s="8" t="s">
        <v>3334</v>
      </c>
      <c r="F955" s="8" t="s">
        <v>782</v>
      </c>
      <c r="G955" s="8" t="s">
        <v>783</v>
      </c>
      <c r="H955" s="8" t="s">
        <v>784</v>
      </c>
    </row>
    <row r="956" customFormat="false" ht="15" hidden="false" customHeight="false" outlineLevel="0" collapsed="false">
      <c r="A956" s="8" t="s">
        <v>3335</v>
      </c>
      <c r="B956" s="8" t="s">
        <v>3336</v>
      </c>
      <c r="C956" s="8" t="n">
        <v>2015</v>
      </c>
      <c r="D956" s="8" t="s">
        <v>58</v>
      </c>
      <c r="E956" s="8" t="s">
        <v>3337</v>
      </c>
      <c r="F956" s="8" t="s">
        <v>782</v>
      </c>
      <c r="G956" s="8" t="s">
        <v>783</v>
      </c>
      <c r="H956" s="8" t="s">
        <v>861</v>
      </c>
    </row>
    <row r="957" customFormat="false" ht="15" hidden="false" customHeight="false" outlineLevel="0" collapsed="false">
      <c r="A957" s="8" t="s">
        <v>3338</v>
      </c>
      <c r="B957" s="8" t="s">
        <v>3339</v>
      </c>
      <c r="C957" s="8" t="n">
        <v>2011</v>
      </c>
      <c r="D957" s="8" t="s">
        <v>58</v>
      </c>
      <c r="E957" s="8" t="s">
        <v>3340</v>
      </c>
      <c r="F957" s="8" t="s">
        <v>782</v>
      </c>
      <c r="G957" s="8" t="s">
        <v>783</v>
      </c>
      <c r="H957" s="8" t="s">
        <v>784</v>
      </c>
    </row>
    <row r="958" customFormat="false" ht="15" hidden="false" customHeight="false" outlineLevel="0" collapsed="false">
      <c r="A958" s="8" t="s">
        <v>3341</v>
      </c>
      <c r="B958" s="8" t="s">
        <v>3342</v>
      </c>
      <c r="C958" s="8" t="n">
        <v>2015</v>
      </c>
      <c r="D958" s="8" t="s">
        <v>58</v>
      </c>
      <c r="E958" s="8" t="s">
        <v>3343</v>
      </c>
      <c r="F958" s="8" t="s">
        <v>782</v>
      </c>
      <c r="G958" s="8" t="s">
        <v>783</v>
      </c>
      <c r="H958" s="8" t="s">
        <v>784</v>
      </c>
    </row>
    <row r="959" customFormat="false" ht="15" hidden="false" customHeight="false" outlineLevel="0" collapsed="false">
      <c r="A959" s="8" t="s">
        <v>3344</v>
      </c>
      <c r="B959" s="8" t="s">
        <v>3345</v>
      </c>
      <c r="C959" s="8" t="n">
        <v>2015</v>
      </c>
      <c r="D959" s="8" t="s">
        <v>90</v>
      </c>
      <c r="E959" s="8" t="s">
        <v>3346</v>
      </c>
      <c r="F959" s="8" t="s">
        <v>782</v>
      </c>
      <c r="G959" s="8" t="s">
        <v>783</v>
      </c>
      <c r="H959" s="8" t="s">
        <v>784</v>
      </c>
    </row>
    <row r="960" customFormat="false" ht="15" hidden="false" customHeight="false" outlineLevel="0" collapsed="false">
      <c r="A960" s="8" t="s">
        <v>3347</v>
      </c>
      <c r="B960" s="8" t="s">
        <v>3348</v>
      </c>
      <c r="C960" s="8" t="n">
        <v>2012</v>
      </c>
      <c r="D960" s="8" t="s">
        <v>58</v>
      </c>
      <c r="E960" s="8" t="s">
        <v>3349</v>
      </c>
      <c r="F960" s="8" t="s">
        <v>782</v>
      </c>
      <c r="G960" s="8" t="s">
        <v>783</v>
      </c>
      <c r="H960" s="8" t="s">
        <v>784</v>
      </c>
    </row>
    <row r="961" customFormat="false" ht="15" hidden="false" customHeight="false" outlineLevel="0" collapsed="false">
      <c r="A961" s="8" t="s">
        <v>3350</v>
      </c>
      <c r="B961" s="8" t="s">
        <v>3351</v>
      </c>
      <c r="C961" s="8" t="n">
        <v>2011</v>
      </c>
      <c r="D961" s="8" t="s">
        <v>58</v>
      </c>
      <c r="E961" s="8" t="s">
        <v>3352</v>
      </c>
      <c r="F961" s="8" t="s">
        <v>782</v>
      </c>
      <c r="G961" s="8" t="s">
        <v>801</v>
      </c>
      <c r="H961" s="8" t="s">
        <v>915</v>
      </c>
    </row>
    <row r="962" customFormat="false" ht="15" hidden="false" customHeight="false" outlineLevel="0" collapsed="false">
      <c r="A962" s="8" t="s">
        <v>3353</v>
      </c>
      <c r="B962" s="8" t="s">
        <v>3354</v>
      </c>
      <c r="C962" s="8" t="n">
        <v>2015</v>
      </c>
      <c r="D962" s="8" t="s">
        <v>58</v>
      </c>
      <c r="E962" s="8" t="s">
        <v>3355</v>
      </c>
      <c r="F962" s="8" t="s">
        <v>782</v>
      </c>
      <c r="G962" s="8" t="s">
        <v>895</v>
      </c>
      <c r="H962" s="8" t="s">
        <v>896</v>
      </c>
    </row>
    <row r="963" customFormat="false" ht="15" hidden="false" customHeight="false" outlineLevel="0" collapsed="false">
      <c r="A963" s="8" t="s">
        <v>3356</v>
      </c>
      <c r="B963" s="8" t="s">
        <v>3357</v>
      </c>
      <c r="C963" s="8" t="n">
        <v>2018</v>
      </c>
      <c r="D963" s="8" t="s">
        <v>83</v>
      </c>
      <c r="E963" s="8" t="s">
        <v>3358</v>
      </c>
      <c r="F963" s="8" t="s">
        <v>782</v>
      </c>
      <c r="G963" s="8" t="s">
        <v>783</v>
      </c>
      <c r="H963" s="8" t="s">
        <v>784</v>
      </c>
    </row>
    <row r="964" customFormat="false" ht="15" hidden="false" customHeight="false" outlineLevel="0" collapsed="false">
      <c r="A964" s="8" t="s">
        <v>3359</v>
      </c>
      <c r="B964" s="8" t="s">
        <v>3360</v>
      </c>
      <c r="C964" s="8" t="n">
        <v>2010</v>
      </c>
      <c r="D964" s="8" t="s">
        <v>83</v>
      </c>
      <c r="E964" s="8" t="s">
        <v>3361</v>
      </c>
      <c r="F964" s="8" t="s">
        <v>782</v>
      </c>
      <c r="G964" s="8" t="s">
        <v>801</v>
      </c>
      <c r="H964" s="8" t="s">
        <v>915</v>
      </c>
    </row>
    <row r="965" customFormat="false" ht="15" hidden="false" customHeight="false" outlineLevel="0" collapsed="false">
      <c r="A965" s="8" t="s">
        <v>3362</v>
      </c>
      <c r="B965" s="8" t="s">
        <v>3363</v>
      </c>
      <c r="C965" s="8" t="n">
        <v>2018</v>
      </c>
      <c r="D965" s="8" t="s">
        <v>58</v>
      </c>
      <c r="E965" s="8" t="s">
        <v>3364</v>
      </c>
      <c r="F965" s="8" t="s">
        <v>782</v>
      </c>
      <c r="G965" s="8" t="s">
        <v>801</v>
      </c>
      <c r="H965" s="8" t="s">
        <v>802</v>
      </c>
    </row>
    <row r="966" customFormat="false" ht="15" hidden="false" customHeight="false" outlineLevel="0" collapsed="false">
      <c r="A966" s="8" t="s">
        <v>3365</v>
      </c>
      <c r="B966" s="8" t="s">
        <v>3366</v>
      </c>
      <c r="C966" s="8" t="n">
        <v>2015</v>
      </c>
      <c r="D966" s="8" t="s">
        <v>83</v>
      </c>
      <c r="E966" s="8" t="s">
        <v>3367</v>
      </c>
      <c r="F966" s="8" t="s">
        <v>782</v>
      </c>
      <c r="G966" s="8" t="s">
        <v>788</v>
      </c>
      <c r="H966" s="8" t="s">
        <v>789</v>
      </c>
    </row>
    <row r="967" customFormat="false" ht="15" hidden="false" customHeight="false" outlineLevel="0" collapsed="false">
      <c r="A967" s="8" t="s">
        <v>3368</v>
      </c>
      <c r="B967" s="8" t="s">
        <v>3369</v>
      </c>
      <c r="C967" s="8" t="n">
        <v>2018</v>
      </c>
      <c r="D967" s="8" t="s">
        <v>58</v>
      </c>
      <c r="E967" s="8" t="s">
        <v>3370</v>
      </c>
      <c r="F967" s="8" t="s">
        <v>782</v>
      </c>
      <c r="G967" s="8" t="s">
        <v>783</v>
      </c>
      <c r="H967" s="8" t="s">
        <v>784</v>
      </c>
    </row>
    <row r="968" customFormat="false" ht="15" hidden="false" customHeight="false" outlineLevel="0" collapsed="false">
      <c r="A968" s="8" t="s">
        <v>3371</v>
      </c>
      <c r="B968" s="8" t="s">
        <v>3372</v>
      </c>
      <c r="C968" s="8" t="n">
        <v>2011</v>
      </c>
      <c r="D968" s="8" t="s">
        <v>58</v>
      </c>
      <c r="E968" s="8"/>
      <c r="F968" s="8" t="s">
        <v>782</v>
      </c>
      <c r="G968" s="8" t="s">
        <v>783</v>
      </c>
      <c r="H968" s="8" t="s">
        <v>784</v>
      </c>
    </row>
    <row r="969" customFormat="false" ht="15" hidden="false" customHeight="false" outlineLevel="0" collapsed="false">
      <c r="A969" s="8" t="s">
        <v>3373</v>
      </c>
      <c r="B969" s="8" t="s">
        <v>3374</v>
      </c>
      <c r="C969" s="8" t="n">
        <v>2013</v>
      </c>
      <c r="D969" s="8" t="s">
        <v>58</v>
      </c>
      <c r="E969" s="8" t="s">
        <v>3375</v>
      </c>
      <c r="F969" s="8" t="s">
        <v>782</v>
      </c>
      <c r="G969" s="8" t="s">
        <v>783</v>
      </c>
      <c r="H969" s="8" t="s">
        <v>784</v>
      </c>
    </row>
    <row r="970" customFormat="false" ht="15" hidden="false" customHeight="false" outlineLevel="0" collapsed="false">
      <c r="A970" s="8" t="s">
        <v>3376</v>
      </c>
      <c r="B970" s="8" t="s">
        <v>3377</v>
      </c>
      <c r="C970" s="8" t="n">
        <v>2011</v>
      </c>
      <c r="D970" s="8" t="s">
        <v>58</v>
      </c>
      <c r="E970" s="8" t="s">
        <v>3378</v>
      </c>
      <c r="F970" s="8" t="s">
        <v>782</v>
      </c>
      <c r="G970" s="8" t="s">
        <v>801</v>
      </c>
      <c r="H970" s="8" t="s">
        <v>915</v>
      </c>
    </row>
    <row r="971" customFormat="false" ht="15" hidden="false" customHeight="false" outlineLevel="0" collapsed="false">
      <c r="A971" s="8" t="s">
        <v>3379</v>
      </c>
      <c r="B971" s="8" t="s">
        <v>3380</v>
      </c>
      <c r="C971" s="8" t="n">
        <v>2016</v>
      </c>
      <c r="D971" s="8" t="s">
        <v>58</v>
      </c>
      <c r="E971" s="8"/>
      <c r="F971" s="8" t="s">
        <v>782</v>
      </c>
      <c r="G971" s="8" t="s">
        <v>783</v>
      </c>
      <c r="H971" s="8" t="s">
        <v>784</v>
      </c>
    </row>
    <row r="972" customFormat="false" ht="15" hidden="false" customHeight="false" outlineLevel="0" collapsed="false">
      <c r="A972" s="8" t="s">
        <v>3381</v>
      </c>
      <c r="B972" s="8" t="s">
        <v>3382</v>
      </c>
      <c r="C972" s="8" t="n">
        <v>2014</v>
      </c>
      <c r="D972" s="8" t="s">
        <v>83</v>
      </c>
      <c r="E972" s="8" t="s">
        <v>3383</v>
      </c>
      <c r="F972" s="8" t="s">
        <v>782</v>
      </c>
      <c r="G972" s="8" t="s">
        <v>783</v>
      </c>
      <c r="H972" s="8" t="s">
        <v>784</v>
      </c>
    </row>
    <row r="973" customFormat="false" ht="15" hidden="false" customHeight="false" outlineLevel="0" collapsed="false">
      <c r="A973" s="8" t="s">
        <v>3384</v>
      </c>
      <c r="B973" s="8" t="s">
        <v>3385</v>
      </c>
      <c r="C973" s="8" t="n">
        <v>2018</v>
      </c>
      <c r="D973" s="8" t="s">
        <v>83</v>
      </c>
      <c r="E973" s="8" t="s">
        <v>3386</v>
      </c>
      <c r="F973" s="8" t="s">
        <v>782</v>
      </c>
      <c r="G973" s="8" t="s">
        <v>783</v>
      </c>
      <c r="H973" s="8" t="s">
        <v>784</v>
      </c>
    </row>
    <row r="974" customFormat="false" ht="15" hidden="false" customHeight="false" outlineLevel="0" collapsed="false">
      <c r="A974" s="8" t="s">
        <v>3387</v>
      </c>
      <c r="B974" s="8" t="s">
        <v>3388</v>
      </c>
      <c r="C974" s="8" t="n">
        <v>2013</v>
      </c>
      <c r="D974" s="8" t="s">
        <v>58</v>
      </c>
      <c r="E974" s="8" t="s">
        <v>3389</v>
      </c>
      <c r="F974" s="8" t="s">
        <v>782</v>
      </c>
      <c r="G974" s="8" t="s">
        <v>783</v>
      </c>
      <c r="H974" s="8" t="s">
        <v>784</v>
      </c>
    </row>
    <row r="975" customFormat="false" ht="15" hidden="false" customHeight="false" outlineLevel="0" collapsed="false">
      <c r="A975" s="8" t="s">
        <v>3390</v>
      </c>
      <c r="B975" s="8" t="s">
        <v>3391</v>
      </c>
      <c r="C975" s="8" t="n">
        <v>2010</v>
      </c>
      <c r="D975" s="8" t="s">
        <v>58</v>
      </c>
      <c r="E975" s="8" t="s">
        <v>3392</v>
      </c>
      <c r="F975" s="8" t="s">
        <v>782</v>
      </c>
      <c r="G975" s="8" t="s">
        <v>783</v>
      </c>
      <c r="H975" s="8" t="s">
        <v>784</v>
      </c>
    </row>
    <row r="976" customFormat="false" ht="15" hidden="false" customHeight="false" outlineLevel="0" collapsed="false">
      <c r="A976" s="8" t="s">
        <v>3393</v>
      </c>
      <c r="B976" s="8" t="s">
        <v>3394</v>
      </c>
      <c r="C976" s="8" t="n">
        <v>2014</v>
      </c>
      <c r="D976" s="8" t="s">
        <v>83</v>
      </c>
      <c r="E976" s="8" t="s">
        <v>3395</v>
      </c>
      <c r="F976" s="8" t="s">
        <v>782</v>
      </c>
      <c r="G976" s="8" t="s">
        <v>783</v>
      </c>
      <c r="H976" s="8" t="s">
        <v>784</v>
      </c>
    </row>
    <row r="977" customFormat="false" ht="15" hidden="false" customHeight="false" outlineLevel="0" collapsed="false">
      <c r="A977" s="8" t="s">
        <v>3396</v>
      </c>
      <c r="B977" s="8" t="s">
        <v>3397</v>
      </c>
      <c r="C977" s="8" t="n">
        <v>2015</v>
      </c>
      <c r="D977" s="8" t="s">
        <v>58</v>
      </c>
      <c r="E977" s="8"/>
      <c r="F977" s="8" t="s">
        <v>782</v>
      </c>
      <c r="G977" s="8" t="s">
        <v>783</v>
      </c>
      <c r="H977" s="8" t="s">
        <v>784</v>
      </c>
    </row>
    <row r="978" customFormat="false" ht="15" hidden="false" customHeight="false" outlineLevel="0" collapsed="false">
      <c r="A978" s="8" t="s">
        <v>3398</v>
      </c>
      <c r="B978" s="8" t="s">
        <v>3399</v>
      </c>
      <c r="C978" s="8" t="n">
        <v>2016</v>
      </c>
      <c r="D978" s="8" t="s">
        <v>58</v>
      </c>
      <c r="E978" s="8" t="s">
        <v>3400</v>
      </c>
      <c r="F978" s="8" t="s">
        <v>782</v>
      </c>
      <c r="G978" s="8" t="s">
        <v>783</v>
      </c>
      <c r="H978" s="8" t="s">
        <v>784</v>
      </c>
    </row>
    <row r="979" customFormat="false" ht="15" hidden="false" customHeight="false" outlineLevel="0" collapsed="false">
      <c r="A979" s="8" t="s">
        <v>3401</v>
      </c>
      <c r="B979" s="8" t="s">
        <v>3402</v>
      </c>
      <c r="C979" s="8" t="n">
        <v>2011</v>
      </c>
      <c r="D979" s="8" t="s">
        <v>58</v>
      </c>
      <c r="E979" s="8"/>
      <c r="F979" s="8" t="s">
        <v>782</v>
      </c>
      <c r="G979" s="8" t="s">
        <v>783</v>
      </c>
      <c r="H979" s="8" t="s">
        <v>861</v>
      </c>
    </row>
    <row r="980" customFormat="false" ht="15" hidden="false" customHeight="false" outlineLevel="0" collapsed="false">
      <c r="A980" s="8" t="s">
        <v>3403</v>
      </c>
      <c r="B980" s="8" t="s">
        <v>3404</v>
      </c>
      <c r="C980" s="8" t="n">
        <v>2014</v>
      </c>
      <c r="D980" s="8" t="s">
        <v>58</v>
      </c>
      <c r="E980" s="8" t="s">
        <v>3405</v>
      </c>
      <c r="F980" s="8" t="s">
        <v>782</v>
      </c>
      <c r="G980" s="8" t="s">
        <v>783</v>
      </c>
      <c r="H980" s="8" t="s">
        <v>784</v>
      </c>
    </row>
    <row r="981" customFormat="false" ht="15" hidden="false" customHeight="false" outlineLevel="0" collapsed="false">
      <c r="A981" s="8" t="s">
        <v>3406</v>
      </c>
      <c r="B981" s="8" t="s">
        <v>3407</v>
      </c>
      <c r="C981" s="8" t="n">
        <v>2016</v>
      </c>
      <c r="D981" s="8" t="s">
        <v>58</v>
      </c>
      <c r="E981" s="8" t="s">
        <v>3408</v>
      </c>
      <c r="F981" s="8" t="s">
        <v>782</v>
      </c>
      <c r="G981" s="8" t="s">
        <v>801</v>
      </c>
      <c r="H981" s="8" t="s">
        <v>802</v>
      </c>
    </row>
    <row r="982" customFormat="false" ht="15" hidden="false" customHeight="false" outlineLevel="0" collapsed="false">
      <c r="A982" s="8" t="s">
        <v>3409</v>
      </c>
      <c r="B982" s="8" t="s">
        <v>3410</v>
      </c>
      <c r="C982" s="8" t="n">
        <v>2011</v>
      </c>
      <c r="D982" s="8" t="s">
        <v>58</v>
      </c>
      <c r="E982" s="8" t="s">
        <v>3411</v>
      </c>
      <c r="F982" s="8" t="s">
        <v>782</v>
      </c>
      <c r="G982" s="8" t="s">
        <v>801</v>
      </c>
      <c r="H982" s="8" t="s">
        <v>915</v>
      </c>
    </row>
    <row r="983" customFormat="false" ht="15" hidden="false" customHeight="false" outlineLevel="0" collapsed="false">
      <c r="A983" s="8" t="s">
        <v>3412</v>
      </c>
      <c r="B983" s="8" t="s">
        <v>3413</v>
      </c>
      <c r="C983" s="8" t="n">
        <v>2019</v>
      </c>
      <c r="D983" s="8" t="s">
        <v>58</v>
      </c>
      <c r="E983" s="8" t="s">
        <v>3414</v>
      </c>
      <c r="F983" s="8" t="s">
        <v>782</v>
      </c>
      <c r="G983" s="8" t="s">
        <v>783</v>
      </c>
      <c r="H983" s="8" t="s">
        <v>784</v>
      </c>
    </row>
    <row r="984" customFormat="false" ht="15" hidden="false" customHeight="false" outlineLevel="0" collapsed="false">
      <c r="A984" s="8" t="s">
        <v>3415</v>
      </c>
      <c r="B984" s="8" t="s">
        <v>3416</v>
      </c>
      <c r="C984" s="8" t="n">
        <v>2011</v>
      </c>
      <c r="D984" s="8" t="s">
        <v>58</v>
      </c>
      <c r="E984" s="8" t="s">
        <v>3417</v>
      </c>
      <c r="F984" s="8" t="s">
        <v>782</v>
      </c>
      <c r="G984" s="8" t="s">
        <v>895</v>
      </c>
      <c r="H984" s="8" t="s">
        <v>896</v>
      </c>
    </row>
    <row r="985" customFormat="false" ht="15" hidden="false" customHeight="false" outlineLevel="0" collapsed="false">
      <c r="A985" s="8" t="s">
        <v>3418</v>
      </c>
      <c r="B985" s="8" t="s">
        <v>3419</v>
      </c>
      <c r="C985" s="8" t="n">
        <v>2018</v>
      </c>
      <c r="D985" s="8" t="s">
        <v>58</v>
      </c>
      <c r="E985" s="8" t="s">
        <v>3420</v>
      </c>
      <c r="F985" s="8" t="s">
        <v>782</v>
      </c>
      <c r="G985" s="8" t="s">
        <v>783</v>
      </c>
      <c r="H985" s="8" t="s">
        <v>784</v>
      </c>
    </row>
    <row r="986" customFormat="false" ht="15" hidden="false" customHeight="false" outlineLevel="0" collapsed="false">
      <c r="A986" s="8" t="s">
        <v>3421</v>
      </c>
      <c r="B986" s="8" t="s">
        <v>3422</v>
      </c>
      <c r="C986" s="8" t="n">
        <v>2011</v>
      </c>
      <c r="D986" s="8" t="s">
        <v>58</v>
      </c>
      <c r="E986" s="8" t="s">
        <v>3423</v>
      </c>
      <c r="F986" s="8" t="s">
        <v>782</v>
      </c>
      <c r="G986" s="8" t="s">
        <v>783</v>
      </c>
      <c r="H986" s="8" t="s">
        <v>784</v>
      </c>
    </row>
    <row r="987" customFormat="false" ht="15" hidden="false" customHeight="false" outlineLevel="0" collapsed="false">
      <c r="A987" s="8" t="s">
        <v>3424</v>
      </c>
      <c r="B987" s="8" t="s">
        <v>3425</v>
      </c>
      <c r="C987" s="8" t="n">
        <v>2014</v>
      </c>
      <c r="D987" s="8" t="s">
        <v>58</v>
      </c>
      <c r="E987" s="8"/>
      <c r="F987" s="8" t="s">
        <v>782</v>
      </c>
      <c r="G987" s="8" t="s">
        <v>783</v>
      </c>
      <c r="H987" s="8" t="s">
        <v>784</v>
      </c>
    </row>
    <row r="988" customFormat="false" ht="15" hidden="false" customHeight="false" outlineLevel="0" collapsed="false">
      <c r="A988" s="8" t="s">
        <v>3426</v>
      </c>
      <c r="B988" s="8" t="s">
        <v>3427</v>
      </c>
      <c r="C988" s="8" t="n">
        <v>2019</v>
      </c>
      <c r="D988" s="8" t="s">
        <v>58</v>
      </c>
      <c r="E988" s="8" t="s">
        <v>3428</v>
      </c>
      <c r="F988" s="8" t="s">
        <v>782</v>
      </c>
      <c r="G988" s="8" t="s">
        <v>801</v>
      </c>
      <c r="H988" s="8" t="s">
        <v>915</v>
      </c>
    </row>
    <row r="989" customFormat="false" ht="15" hidden="false" customHeight="false" outlineLevel="0" collapsed="false">
      <c r="A989" s="8" t="s">
        <v>3429</v>
      </c>
      <c r="B989" s="8" t="s">
        <v>3430</v>
      </c>
      <c r="C989" s="8" t="n">
        <v>2019</v>
      </c>
      <c r="D989" s="8" t="s">
        <v>83</v>
      </c>
      <c r="E989" s="8"/>
      <c r="F989" s="8" t="s">
        <v>782</v>
      </c>
      <c r="G989" s="8" t="s">
        <v>801</v>
      </c>
      <c r="H989" s="8" t="s">
        <v>802</v>
      </c>
    </row>
    <row r="990" customFormat="false" ht="15" hidden="false" customHeight="false" outlineLevel="0" collapsed="false">
      <c r="A990" s="8" t="s">
        <v>3431</v>
      </c>
      <c r="B990" s="8" t="s">
        <v>3432</v>
      </c>
      <c r="C990" s="8" t="n">
        <v>2013</v>
      </c>
      <c r="D990" s="8" t="s">
        <v>58</v>
      </c>
      <c r="E990" s="8" t="s">
        <v>3433</v>
      </c>
      <c r="F990" s="8" t="s">
        <v>782</v>
      </c>
      <c r="G990" s="8" t="s">
        <v>783</v>
      </c>
      <c r="H990" s="8" t="s">
        <v>784</v>
      </c>
    </row>
    <row r="991" customFormat="false" ht="15" hidden="false" customHeight="false" outlineLevel="0" collapsed="false">
      <c r="A991" s="8" t="s">
        <v>3434</v>
      </c>
      <c r="B991" s="8" t="s">
        <v>3435</v>
      </c>
      <c r="C991" s="8" t="n">
        <v>2011</v>
      </c>
      <c r="D991" s="8" t="s">
        <v>58</v>
      </c>
      <c r="E991" s="8" t="s">
        <v>3436</v>
      </c>
      <c r="F991" s="8" t="s">
        <v>782</v>
      </c>
      <c r="G991" s="8" t="s">
        <v>783</v>
      </c>
      <c r="H991" s="8" t="s">
        <v>784</v>
      </c>
    </row>
    <row r="992" customFormat="false" ht="15" hidden="false" customHeight="false" outlineLevel="0" collapsed="false">
      <c r="A992" s="8" t="s">
        <v>622</v>
      </c>
      <c r="B992" s="8" t="s">
        <v>624</v>
      </c>
      <c r="C992" s="8" t="n">
        <v>2018</v>
      </c>
      <c r="D992" s="8" t="s">
        <v>58</v>
      </c>
      <c r="E992" s="8" t="s">
        <v>626</v>
      </c>
      <c r="F992" s="8" t="s">
        <v>852</v>
      </c>
      <c r="G992" s="8" t="s">
        <v>853</v>
      </c>
      <c r="H992" s="8" t="s">
        <v>854</v>
      </c>
    </row>
    <row r="993" customFormat="false" ht="15" hidden="false" customHeight="false" outlineLevel="0" collapsed="false">
      <c r="A993" s="8" t="s">
        <v>3437</v>
      </c>
      <c r="B993" s="8" t="s">
        <v>3438</v>
      </c>
      <c r="C993" s="8" t="n">
        <v>2015</v>
      </c>
      <c r="D993" s="8" t="s">
        <v>90</v>
      </c>
      <c r="E993" s="8" t="s">
        <v>3439</v>
      </c>
      <c r="F993" s="8" t="s">
        <v>782</v>
      </c>
      <c r="G993" s="8" t="s">
        <v>783</v>
      </c>
      <c r="H993" s="8" t="s">
        <v>784</v>
      </c>
    </row>
    <row r="994" customFormat="false" ht="15" hidden="false" customHeight="false" outlineLevel="0" collapsed="false">
      <c r="A994" s="8" t="s">
        <v>3440</v>
      </c>
      <c r="B994" s="8" t="s">
        <v>3441</v>
      </c>
      <c r="C994" s="8" t="n">
        <v>2013</v>
      </c>
      <c r="D994" s="8" t="s">
        <v>58</v>
      </c>
      <c r="E994" s="8"/>
      <c r="F994" s="8" t="s">
        <v>782</v>
      </c>
      <c r="G994" s="8" t="s">
        <v>783</v>
      </c>
      <c r="H994" s="8" t="s">
        <v>784</v>
      </c>
    </row>
    <row r="995" customFormat="false" ht="15" hidden="false" customHeight="false" outlineLevel="0" collapsed="false">
      <c r="A995" s="8" t="s">
        <v>634</v>
      </c>
      <c r="B995" s="8" t="s">
        <v>635</v>
      </c>
      <c r="C995" s="8" t="n">
        <v>2018</v>
      </c>
      <c r="D995" s="8" t="s">
        <v>58</v>
      </c>
      <c r="E995" s="8" t="s">
        <v>636</v>
      </c>
      <c r="F995" s="8" t="s">
        <v>852</v>
      </c>
      <c r="G995" s="8" t="s">
        <v>853</v>
      </c>
      <c r="H995" s="8" t="s">
        <v>854</v>
      </c>
    </row>
    <row r="996" customFormat="false" ht="15" hidden="false" customHeight="false" outlineLevel="0" collapsed="false">
      <c r="A996" s="8" t="s">
        <v>3442</v>
      </c>
      <c r="B996" s="8" t="s">
        <v>3443</v>
      </c>
      <c r="C996" s="8" t="n">
        <v>2014</v>
      </c>
      <c r="D996" s="8" t="s">
        <v>58</v>
      </c>
      <c r="E996" s="8"/>
      <c r="F996" s="8" t="s">
        <v>782</v>
      </c>
      <c r="G996" s="8" t="s">
        <v>788</v>
      </c>
      <c r="H996" s="8" t="s">
        <v>789</v>
      </c>
    </row>
    <row r="997" customFormat="false" ht="15" hidden="false" customHeight="false" outlineLevel="0" collapsed="false">
      <c r="A997" s="8" t="s">
        <v>3444</v>
      </c>
      <c r="B997" s="8" t="s">
        <v>3445</v>
      </c>
      <c r="C997" s="8" t="n">
        <v>2017</v>
      </c>
      <c r="D997" s="8" t="s">
        <v>83</v>
      </c>
      <c r="E997" s="8" t="s">
        <v>3446</v>
      </c>
      <c r="F997" s="8" t="s">
        <v>782</v>
      </c>
      <c r="G997" s="8" t="s">
        <v>783</v>
      </c>
      <c r="H997" s="8" t="s">
        <v>784</v>
      </c>
    </row>
    <row r="998" customFormat="false" ht="15" hidden="false" customHeight="false" outlineLevel="0" collapsed="false">
      <c r="A998" s="8" t="s">
        <v>3447</v>
      </c>
      <c r="B998" s="8" t="s">
        <v>3448</v>
      </c>
      <c r="C998" s="8" t="n">
        <v>2017</v>
      </c>
      <c r="D998" s="8" t="s">
        <v>58</v>
      </c>
      <c r="E998" s="8" t="s">
        <v>3449</v>
      </c>
      <c r="F998" s="8" t="s">
        <v>782</v>
      </c>
      <c r="G998" s="8" t="s">
        <v>783</v>
      </c>
      <c r="H998" s="8" t="s">
        <v>784</v>
      </c>
    </row>
    <row r="999" customFormat="false" ht="15" hidden="false" customHeight="false" outlineLevel="0" collapsed="false">
      <c r="A999" s="8" t="s">
        <v>3450</v>
      </c>
      <c r="B999" s="8" t="s">
        <v>3451</v>
      </c>
      <c r="C999" s="8" t="n">
        <v>2015</v>
      </c>
      <c r="D999" s="8" t="s">
        <v>58</v>
      </c>
      <c r="E999" s="8" t="s">
        <v>3452</v>
      </c>
      <c r="F999" s="8" t="s">
        <v>782</v>
      </c>
      <c r="G999" s="8" t="s">
        <v>783</v>
      </c>
      <c r="H999" s="8" t="s">
        <v>784</v>
      </c>
    </row>
    <row r="1000" customFormat="false" ht="15" hidden="false" customHeight="false" outlineLevel="0" collapsed="false">
      <c r="A1000" s="8" t="s">
        <v>3453</v>
      </c>
      <c r="B1000" s="8" t="s">
        <v>3454</v>
      </c>
      <c r="C1000" s="8" t="n">
        <v>2017</v>
      </c>
      <c r="D1000" s="8" t="s">
        <v>83</v>
      </c>
      <c r="E1000" s="8"/>
      <c r="F1000" s="8" t="s">
        <v>782</v>
      </c>
      <c r="G1000" s="8" t="s">
        <v>783</v>
      </c>
      <c r="H1000" s="8" t="s">
        <v>784</v>
      </c>
    </row>
    <row r="1001" customFormat="false" ht="15" hidden="false" customHeight="false" outlineLevel="0" collapsed="false">
      <c r="A1001" s="8" t="s">
        <v>3455</v>
      </c>
      <c r="B1001" s="8" t="s">
        <v>3456</v>
      </c>
      <c r="C1001" s="8" t="n">
        <v>2012</v>
      </c>
      <c r="D1001" s="8" t="s">
        <v>58</v>
      </c>
      <c r="E1001" s="8"/>
      <c r="F1001" s="8" t="s">
        <v>782</v>
      </c>
      <c r="G1001" s="8" t="s">
        <v>783</v>
      </c>
      <c r="H1001" s="8" t="s">
        <v>784</v>
      </c>
    </row>
    <row r="1002" customFormat="false" ht="15" hidden="false" customHeight="false" outlineLevel="0" collapsed="false">
      <c r="A1002" s="8" t="s">
        <v>3457</v>
      </c>
      <c r="B1002" s="8" t="s">
        <v>3458</v>
      </c>
      <c r="C1002" s="8" t="n">
        <v>2018</v>
      </c>
      <c r="D1002" s="8" t="s">
        <v>83</v>
      </c>
      <c r="E1002" s="8" t="s">
        <v>3459</v>
      </c>
      <c r="F1002" s="8" t="s">
        <v>782</v>
      </c>
      <c r="G1002" s="8" t="s">
        <v>783</v>
      </c>
      <c r="H1002" s="8" t="s">
        <v>784</v>
      </c>
    </row>
    <row r="1003" customFormat="false" ht="15" hidden="false" customHeight="false" outlineLevel="0" collapsed="false">
      <c r="A1003" s="8" t="s">
        <v>3460</v>
      </c>
      <c r="B1003" s="8" t="s">
        <v>3461</v>
      </c>
      <c r="C1003" s="8" t="n">
        <v>2011</v>
      </c>
      <c r="D1003" s="8" t="s">
        <v>58</v>
      </c>
      <c r="E1003" s="8" t="s">
        <v>3462</v>
      </c>
      <c r="F1003" s="8" t="s">
        <v>782</v>
      </c>
      <c r="G1003" s="8" t="s">
        <v>783</v>
      </c>
      <c r="H1003" s="8" t="s">
        <v>784</v>
      </c>
    </row>
    <row r="1004" customFormat="false" ht="15" hidden="false" customHeight="false" outlineLevel="0" collapsed="false">
      <c r="A1004" s="8" t="s">
        <v>3463</v>
      </c>
      <c r="B1004" s="8" t="s">
        <v>3464</v>
      </c>
      <c r="C1004" s="8" t="n">
        <v>2017</v>
      </c>
      <c r="D1004" s="8" t="s">
        <v>58</v>
      </c>
      <c r="E1004" s="8" t="s">
        <v>3465</v>
      </c>
      <c r="F1004" s="8" t="s">
        <v>782</v>
      </c>
      <c r="G1004" s="8" t="s">
        <v>783</v>
      </c>
      <c r="H1004" s="8" t="s">
        <v>784</v>
      </c>
    </row>
    <row r="1005" customFormat="false" ht="15" hidden="false" customHeight="false" outlineLevel="0" collapsed="false">
      <c r="A1005" s="8" t="s">
        <v>3466</v>
      </c>
      <c r="B1005" s="8" t="s">
        <v>3467</v>
      </c>
      <c r="C1005" s="8" t="n">
        <v>2015</v>
      </c>
      <c r="D1005" s="8" t="s">
        <v>58</v>
      </c>
      <c r="E1005" s="8" t="s">
        <v>3468</v>
      </c>
      <c r="F1005" s="8" t="s">
        <v>782</v>
      </c>
      <c r="G1005" s="8" t="s">
        <v>783</v>
      </c>
      <c r="H1005" s="8" t="s">
        <v>784</v>
      </c>
    </row>
    <row r="1006" customFormat="false" ht="15" hidden="false" customHeight="false" outlineLevel="0" collapsed="false">
      <c r="A1006" s="8" t="s">
        <v>3469</v>
      </c>
      <c r="B1006" s="8" t="s">
        <v>3470</v>
      </c>
      <c r="C1006" s="8" t="n">
        <v>2018</v>
      </c>
      <c r="D1006" s="8" t="s">
        <v>58</v>
      </c>
      <c r="E1006" s="8" t="s">
        <v>3471</v>
      </c>
      <c r="F1006" s="8" t="s">
        <v>782</v>
      </c>
      <c r="G1006" s="8" t="s">
        <v>783</v>
      </c>
      <c r="H1006" s="8" t="s">
        <v>784</v>
      </c>
    </row>
    <row r="1007" customFormat="false" ht="15" hidden="false" customHeight="false" outlineLevel="0" collapsed="false">
      <c r="A1007" s="8" t="s">
        <v>3472</v>
      </c>
      <c r="B1007" s="8" t="s">
        <v>3473</v>
      </c>
      <c r="C1007" s="8" t="n">
        <v>2016</v>
      </c>
      <c r="D1007" s="8" t="s">
        <v>58</v>
      </c>
      <c r="E1007" s="8" t="s">
        <v>3474</v>
      </c>
      <c r="F1007" s="8" t="s">
        <v>782</v>
      </c>
      <c r="G1007" s="8" t="s">
        <v>783</v>
      </c>
      <c r="H1007" s="8" t="s">
        <v>784</v>
      </c>
    </row>
    <row r="1008" customFormat="false" ht="15" hidden="false" customHeight="false" outlineLevel="0" collapsed="false">
      <c r="A1008" s="8" t="s">
        <v>3475</v>
      </c>
      <c r="B1008" s="8" t="s">
        <v>3476</v>
      </c>
      <c r="C1008" s="8" t="n">
        <v>2015</v>
      </c>
      <c r="D1008" s="8" t="s">
        <v>58</v>
      </c>
      <c r="E1008" s="8"/>
      <c r="F1008" s="8" t="s">
        <v>782</v>
      </c>
      <c r="G1008" s="8" t="s">
        <v>783</v>
      </c>
      <c r="H1008" s="8" t="s">
        <v>784</v>
      </c>
    </row>
    <row r="1009" customFormat="false" ht="15" hidden="false" customHeight="false" outlineLevel="0" collapsed="false">
      <c r="A1009" s="8" t="s">
        <v>3477</v>
      </c>
      <c r="B1009" s="8" t="s">
        <v>3478</v>
      </c>
      <c r="C1009" s="8" t="n">
        <v>2013</v>
      </c>
      <c r="D1009" s="8" t="s">
        <v>83</v>
      </c>
      <c r="E1009" s="8" t="s">
        <v>3479</v>
      </c>
      <c r="F1009" s="8" t="s">
        <v>782</v>
      </c>
      <c r="G1009" s="8" t="s">
        <v>783</v>
      </c>
      <c r="H1009" s="8" t="s">
        <v>784</v>
      </c>
    </row>
    <row r="1010" customFormat="false" ht="15" hidden="false" customHeight="false" outlineLevel="0" collapsed="false">
      <c r="A1010" s="8" t="s">
        <v>3480</v>
      </c>
      <c r="B1010" s="8" t="s">
        <v>3481</v>
      </c>
      <c r="C1010" s="8" t="n">
        <v>2016</v>
      </c>
      <c r="D1010" s="8" t="s">
        <v>58</v>
      </c>
      <c r="E1010" s="8" t="s">
        <v>3482</v>
      </c>
      <c r="F1010" s="8" t="s">
        <v>782</v>
      </c>
      <c r="G1010" s="8" t="s">
        <v>783</v>
      </c>
      <c r="H1010" s="8" t="s">
        <v>784</v>
      </c>
    </row>
    <row r="1011" customFormat="false" ht="15" hidden="false" customHeight="false" outlineLevel="0" collapsed="false">
      <c r="A1011" s="8" t="s">
        <v>3483</v>
      </c>
      <c r="B1011" s="8" t="s">
        <v>3484</v>
      </c>
      <c r="C1011" s="8" t="n">
        <v>2018</v>
      </c>
      <c r="D1011" s="8" t="s">
        <v>90</v>
      </c>
      <c r="E1011" s="8" t="s">
        <v>3485</v>
      </c>
      <c r="F1011" s="8" t="s">
        <v>782</v>
      </c>
      <c r="G1011" s="8" t="s">
        <v>783</v>
      </c>
      <c r="H1011" s="8" t="s">
        <v>784</v>
      </c>
    </row>
    <row r="1012" customFormat="false" ht="15" hidden="false" customHeight="false" outlineLevel="0" collapsed="false">
      <c r="A1012" s="8" t="s">
        <v>3486</v>
      </c>
      <c r="B1012" s="8" t="s">
        <v>3487</v>
      </c>
      <c r="C1012" s="8" t="n">
        <v>2019</v>
      </c>
      <c r="D1012" s="8" t="s">
        <v>58</v>
      </c>
      <c r="E1012" s="8"/>
      <c r="F1012" s="8" t="s">
        <v>782</v>
      </c>
      <c r="G1012" s="8" t="s">
        <v>801</v>
      </c>
      <c r="H1012" s="8" t="s">
        <v>802</v>
      </c>
    </row>
    <row r="1013" customFormat="false" ht="15" hidden="false" customHeight="false" outlineLevel="0" collapsed="false">
      <c r="A1013" s="8" t="s">
        <v>3488</v>
      </c>
      <c r="B1013" s="8" t="s">
        <v>3489</v>
      </c>
      <c r="C1013" s="8" t="n">
        <v>2013</v>
      </c>
      <c r="D1013" s="8" t="s">
        <v>58</v>
      </c>
      <c r="E1013" s="8" t="s">
        <v>3490</v>
      </c>
      <c r="F1013" s="8" t="s">
        <v>782</v>
      </c>
      <c r="G1013" s="8" t="s">
        <v>783</v>
      </c>
      <c r="H1013" s="8" t="s">
        <v>784</v>
      </c>
    </row>
    <row r="1014" customFormat="false" ht="15" hidden="false" customHeight="false" outlineLevel="0" collapsed="false">
      <c r="A1014" s="8" t="s">
        <v>3491</v>
      </c>
      <c r="B1014" s="8" t="s">
        <v>3492</v>
      </c>
      <c r="C1014" s="8" t="n">
        <v>2014</v>
      </c>
      <c r="D1014" s="8" t="s">
        <v>58</v>
      </c>
      <c r="E1014" s="8" t="s">
        <v>3493</v>
      </c>
      <c r="F1014" s="8" t="s">
        <v>782</v>
      </c>
      <c r="G1014" s="8" t="s">
        <v>783</v>
      </c>
      <c r="H1014" s="8" t="s">
        <v>784</v>
      </c>
    </row>
    <row r="1015" customFormat="false" ht="15" hidden="false" customHeight="false" outlineLevel="0" collapsed="false">
      <c r="A1015" s="8" t="s">
        <v>3494</v>
      </c>
      <c r="B1015" s="8" t="s">
        <v>3495</v>
      </c>
      <c r="C1015" s="8" t="n">
        <v>2016</v>
      </c>
      <c r="D1015" s="8" t="s">
        <v>83</v>
      </c>
      <c r="E1015" s="8" t="s">
        <v>3496</v>
      </c>
      <c r="F1015" s="8" t="s">
        <v>782</v>
      </c>
      <c r="G1015" s="8" t="s">
        <v>783</v>
      </c>
      <c r="H1015" s="8" t="s">
        <v>784</v>
      </c>
    </row>
    <row r="1016" customFormat="false" ht="15" hidden="false" customHeight="false" outlineLevel="0" collapsed="false">
      <c r="A1016" s="8" t="s">
        <v>3497</v>
      </c>
      <c r="B1016" s="8" t="s">
        <v>3498</v>
      </c>
      <c r="C1016" s="8" t="n">
        <v>2016</v>
      </c>
      <c r="D1016" s="8" t="s">
        <v>83</v>
      </c>
      <c r="E1016" s="8" t="s">
        <v>3499</v>
      </c>
      <c r="F1016" s="8" t="s">
        <v>782</v>
      </c>
      <c r="G1016" s="8" t="s">
        <v>783</v>
      </c>
      <c r="H1016" s="8" t="s">
        <v>784</v>
      </c>
    </row>
    <row r="1017" customFormat="false" ht="15" hidden="false" customHeight="false" outlineLevel="0" collapsed="false">
      <c r="A1017" s="8" t="s">
        <v>3500</v>
      </c>
      <c r="B1017" s="8" t="s">
        <v>3501</v>
      </c>
      <c r="C1017" s="8" t="n">
        <v>2016</v>
      </c>
      <c r="D1017" s="8" t="s">
        <v>58</v>
      </c>
      <c r="E1017" s="8" t="s">
        <v>3502</v>
      </c>
      <c r="F1017" s="8" t="s">
        <v>782</v>
      </c>
      <c r="G1017" s="8" t="s">
        <v>783</v>
      </c>
      <c r="H1017" s="8" t="s">
        <v>784</v>
      </c>
    </row>
    <row r="1018" customFormat="false" ht="15" hidden="false" customHeight="false" outlineLevel="0" collapsed="false">
      <c r="A1018" s="8" t="s">
        <v>736</v>
      </c>
      <c r="B1018" s="8" t="s">
        <v>738</v>
      </c>
      <c r="C1018" s="8" t="n">
        <v>2013</v>
      </c>
      <c r="D1018" s="8" t="s">
        <v>58</v>
      </c>
      <c r="E1018" s="8"/>
      <c r="F1018" s="8" t="s">
        <v>852</v>
      </c>
      <c r="G1018" s="8" t="s">
        <v>853</v>
      </c>
      <c r="H1018" s="8" t="s">
        <v>854</v>
      </c>
    </row>
    <row r="1019" customFormat="false" ht="15" hidden="false" customHeight="false" outlineLevel="0" collapsed="false">
      <c r="A1019" s="8" t="s">
        <v>3503</v>
      </c>
      <c r="B1019" s="8" t="s">
        <v>3504</v>
      </c>
      <c r="C1019" s="8" t="n">
        <v>2012</v>
      </c>
      <c r="D1019" s="8" t="s">
        <v>58</v>
      </c>
      <c r="E1019" s="8" t="s">
        <v>3505</v>
      </c>
      <c r="F1019" s="8" t="s">
        <v>782</v>
      </c>
      <c r="G1019" s="8" t="s">
        <v>783</v>
      </c>
      <c r="H1019" s="8" t="s">
        <v>784</v>
      </c>
    </row>
    <row r="1020" customFormat="false" ht="15" hidden="false" customHeight="false" outlineLevel="0" collapsed="false">
      <c r="A1020" s="8" t="s">
        <v>3506</v>
      </c>
      <c r="B1020" s="8" t="s">
        <v>3507</v>
      </c>
      <c r="C1020" s="8" t="n">
        <v>2010</v>
      </c>
      <c r="D1020" s="8" t="s">
        <v>83</v>
      </c>
      <c r="E1020" s="8" t="s">
        <v>3508</v>
      </c>
      <c r="F1020" s="8" t="s">
        <v>782</v>
      </c>
      <c r="G1020" s="8" t="s">
        <v>801</v>
      </c>
      <c r="H1020" s="8" t="s">
        <v>915</v>
      </c>
    </row>
    <row r="1021" customFormat="false" ht="15" hidden="false" customHeight="false" outlineLevel="0" collapsed="false">
      <c r="A1021" s="8" t="s">
        <v>3509</v>
      </c>
      <c r="B1021" s="8" t="s">
        <v>3510</v>
      </c>
      <c r="C1021" s="8" t="n">
        <v>2013</v>
      </c>
      <c r="D1021" s="8" t="s">
        <v>58</v>
      </c>
      <c r="E1021" s="8" t="s">
        <v>3511</v>
      </c>
      <c r="F1021" s="8" t="s">
        <v>782</v>
      </c>
      <c r="G1021" s="8" t="s">
        <v>783</v>
      </c>
      <c r="H1021" s="8" t="s">
        <v>784</v>
      </c>
    </row>
    <row r="1022" customFormat="false" ht="15" hidden="false" customHeight="false" outlineLevel="0" collapsed="false">
      <c r="A1022" s="8" t="s">
        <v>3512</v>
      </c>
      <c r="B1022" s="8" t="s">
        <v>3513</v>
      </c>
      <c r="C1022" s="8" t="n">
        <v>2017</v>
      </c>
      <c r="D1022" s="8" t="s">
        <v>83</v>
      </c>
      <c r="E1022" s="8" t="s">
        <v>3514</v>
      </c>
      <c r="F1022" s="8" t="s">
        <v>782</v>
      </c>
      <c r="G1022" s="8" t="s">
        <v>783</v>
      </c>
      <c r="H1022" s="8" t="s">
        <v>784</v>
      </c>
    </row>
    <row r="1023" customFormat="false" ht="15" hidden="false" customHeight="false" outlineLevel="0" collapsed="false">
      <c r="A1023" s="8" t="s">
        <v>3515</v>
      </c>
      <c r="B1023" s="8" t="s">
        <v>3516</v>
      </c>
      <c r="C1023" s="8" t="n">
        <v>2018</v>
      </c>
      <c r="D1023" s="8" t="s">
        <v>58</v>
      </c>
      <c r="E1023" s="8" t="s">
        <v>3517</v>
      </c>
      <c r="F1023" s="8" t="s">
        <v>782</v>
      </c>
      <c r="G1023" s="8" t="s">
        <v>783</v>
      </c>
      <c r="H1023" s="8" t="s">
        <v>784</v>
      </c>
    </row>
    <row r="1024" customFormat="false" ht="15" hidden="false" customHeight="false" outlineLevel="0" collapsed="false">
      <c r="A1024" s="8" t="s">
        <v>3518</v>
      </c>
      <c r="B1024" s="8" t="s">
        <v>3519</v>
      </c>
      <c r="C1024" s="8" t="n">
        <v>2017</v>
      </c>
      <c r="D1024" s="8" t="s">
        <v>58</v>
      </c>
      <c r="E1024" s="8" t="s">
        <v>3520</v>
      </c>
      <c r="F1024" s="8" t="s">
        <v>782</v>
      </c>
      <c r="G1024" s="8" t="s">
        <v>783</v>
      </c>
      <c r="H1024" s="8" t="s">
        <v>784</v>
      </c>
    </row>
    <row r="1025" customFormat="false" ht="15" hidden="false" customHeight="false" outlineLevel="0" collapsed="false">
      <c r="A1025" s="8" t="s">
        <v>689</v>
      </c>
      <c r="B1025" s="8" t="s">
        <v>691</v>
      </c>
      <c r="C1025" s="8" t="n">
        <v>2017</v>
      </c>
      <c r="D1025" s="8" t="s">
        <v>83</v>
      </c>
      <c r="E1025" s="8" t="s">
        <v>692</v>
      </c>
      <c r="F1025" s="8" t="s">
        <v>852</v>
      </c>
      <c r="G1025" s="8" t="s">
        <v>853</v>
      </c>
      <c r="H1025" s="8" t="s">
        <v>854</v>
      </c>
    </row>
    <row r="1026" customFormat="false" ht="15" hidden="false" customHeight="false" outlineLevel="0" collapsed="false">
      <c r="A1026" s="8" t="s">
        <v>3521</v>
      </c>
      <c r="B1026" s="8" t="s">
        <v>3522</v>
      </c>
      <c r="C1026" s="8" t="n">
        <v>2011</v>
      </c>
      <c r="D1026" s="8" t="s">
        <v>83</v>
      </c>
      <c r="E1026" s="8" t="s">
        <v>3523</v>
      </c>
      <c r="F1026" s="8" t="s">
        <v>782</v>
      </c>
      <c r="G1026" s="8" t="s">
        <v>801</v>
      </c>
      <c r="H1026" s="8" t="s">
        <v>802</v>
      </c>
    </row>
    <row r="1027" customFormat="false" ht="15" hidden="false" customHeight="false" outlineLevel="0" collapsed="false">
      <c r="A1027" s="8" t="s">
        <v>3524</v>
      </c>
      <c r="B1027" s="8" t="s">
        <v>3525</v>
      </c>
      <c r="C1027" s="8" t="n">
        <v>2015</v>
      </c>
      <c r="D1027" s="8" t="s">
        <v>58</v>
      </c>
      <c r="E1027" s="8" t="s">
        <v>3526</v>
      </c>
      <c r="F1027" s="8" t="s">
        <v>782</v>
      </c>
      <c r="G1027" s="8" t="s">
        <v>783</v>
      </c>
      <c r="H1027" s="8" t="s">
        <v>784</v>
      </c>
    </row>
    <row r="1028" customFormat="false" ht="15" hidden="false" customHeight="false" outlineLevel="0" collapsed="false">
      <c r="A1028" s="8" t="s">
        <v>718</v>
      </c>
      <c r="B1028" s="8" t="s">
        <v>720</v>
      </c>
      <c r="C1028" s="8" t="n">
        <v>2014</v>
      </c>
      <c r="D1028" s="8" t="s">
        <v>74</v>
      </c>
      <c r="E1028" s="8" t="s">
        <v>722</v>
      </c>
      <c r="F1028" s="8" t="s">
        <v>852</v>
      </c>
      <c r="G1028" s="8" t="s">
        <v>853</v>
      </c>
      <c r="H1028" s="8" t="s">
        <v>854</v>
      </c>
    </row>
    <row r="1029" customFormat="false" ht="15" hidden="false" customHeight="false" outlineLevel="0" collapsed="false">
      <c r="A1029" s="8" t="s">
        <v>3527</v>
      </c>
      <c r="B1029" s="8" t="s">
        <v>3528</v>
      </c>
      <c r="C1029" s="8" t="n">
        <v>2017</v>
      </c>
      <c r="D1029" s="8" t="s">
        <v>58</v>
      </c>
      <c r="E1029" s="8" t="s">
        <v>3529</v>
      </c>
      <c r="F1029" s="8" t="s">
        <v>782</v>
      </c>
      <c r="G1029" s="8" t="s">
        <v>783</v>
      </c>
      <c r="H1029" s="8" t="s">
        <v>784</v>
      </c>
    </row>
    <row r="1030" customFormat="false" ht="15" hidden="false" customHeight="false" outlineLevel="0" collapsed="false">
      <c r="A1030" s="8" t="s">
        <v>3530</v>
      </c>
      <c r="B1030" s="8" t="s">
        <v>3531</v>
      </c>
      <c r="C1030" s="8" t="n">
        <v>2013</v>
      </c>
      <c r="D1030" s="8" t="s">
        <v>83</v>
      </c>
      <c r="E1030" s="8" t="s">
        <v>3532</v>
      </c>
      <c r="F1030" s="8" t="s">
        <v>782</v>
      </c>
      <c r="G1030" s="8" t="s">
        <v>783</v>
      </c>
      <c r="H1030" s="8" t="s">
        <v>784</v>
      </c>
    </row>
    <row r="1031" customFormat="false" ht="15" hidden="false" customHeight="false" outlineLevel="0" collapsed="false">
      <c r="A1031" s="8" t="s">
        <v>3533</v>
      </c>
      <c r="B1031" s="8" t="s">
        <v>3534</v>
      </c>
      <c r="C1031" s="8" t="n">
        <v>2011</v>
      </c>
      <c r="D1031" s="8" t="s">
        <v>58</v>
      </c>
      <c r="E1031" s="8"/>
      <c r="F1031" s="8" t="s">
        <v>782</v>
      </c>
      <c r="G1031" s="8" t="s">
        <v>783</v>
      </c>
      <c r="H1031" s="8" t="s">
        <v>784</v>
      </c>
    </row>
    <row r="1032" customFormat="false" ht="15" hidden="false" customHeight="false" outlineLevel="0" collapsed="false">
      <c r="A1032" s="8" t="s">
        <v>3535</v>
      </c>
      <c r="B1032" s="8" t="s">
        <v>3536</v>
      </c>
      <c r="C1032" s="8" t="n">
        <v>2016</v>
      </c>
      <c r="D1032" s="8" t="s">
        <v>58</v>
      </c>
      <c r="E1032" s="8" t="s">
        <v>3537</v>
      </c>
      <c r="F1032" s="8" t="s">
        <v>782</v>
      </c>
      <c r="G1032" s="8" t="s">
        <v>783</v>
      </c>
      <c r="H1032" s="8" t="s">
        <v>784</v>
      </c>
    </row>
    <row r="1033" customFormat="false" ht="15" hidden="false" customHeight="false" outlineLevel="0" collapsed="false">
      <c r="A1033" s="8" t="s">
        <v>3538</v>
      </c>
      <c r="B1033" s="8" t="s">
        <v>3539</v>
      </c>
      <c r="C1033" s="8" t="n">
        <v>2013</v>
      </c>
      <c r="D1033" s="8" t="s">
        <v>58</v>
      </c>
      <c r="E1033" s="8"/>
      <c r="F1033" s="8" t="s">
        <v>782</v>
      </c>
      <c r="G1033" s="8" t="s">
        <v>783</v>
      </c>
      <c r="H1033" s="8" t="s">
        <v>784</v>
      </c>
    </row>
    <row r="1034" customFormat="false" ht="15" hidden="false" customHeight="false" outlineLevel="0" collapsed="false">
      <c r="A1034" s="8" t="s">
        <v>3540</v>
      </c>
      <c r="B1034" s="8" t="s">
        <v>3541</v>
      </c>
      <c r="C1034" s="8" t="n">
        <v>2013</v>
      </c>
      <c r="D1034" s="8" t="s">
        <v>58</v>
      </c>
      <c r="E1034" s="8" t="s">
        <v>3542</v>
      </c>
      <c r="F1034" s="8" t="s">
        <v>782</v>
      </c>
      <c r="G1034" s="8" t="s">
        <v>783</v>
      </c>
      <c r="H1034" s="8" t="s">
        <v>784</v>
      </c>
    </row>
    <row r="1035" customFormat="false" ht="15" hidden="false" customHeight="false" outlineLevel="0" collapsed="false">
      <c r="A1035" s="8" t="s">
        <v>3543</v>
      </c>
      <c r="B1035" s="8" t="s">
        <v>3544</v>
      </c>
      <c r="C1035" s="8" t="n">
        <v>2012</v>
      </c>
      <c r="D1035" s="8" t="s">
        <v>83</v>
      </c>
      <c r="E1035" s="8" t="s">
        <v>3545</v>
      </c>
      <c r="F1035" s="8" t="s">
        <v>782</v>
      </c>
      <c r="G1035" s="8" t="s">
        <v>783</v>
      </c>
      <c r="H1035" s="8" t="s">
        <v>784</v>
      </c>
    </row>
    <row r="1036" customFormat="false" ht="15" hidden="false" customHeight="false" outlineLevel="0" collapsed="false">
      <c r="A1036" s="8" t="s">
        <v>3546</v>
      </c>
      <c r="B1036" s="8" t="s">
        <v>3547</v>
      </c>
      <c r="C1036" s="8" t="n">
        <v>2010</v>
      </c>
      <c r="D1036" s="8" t="s">
        <v>58</v>
      </c>
      <c r="E1036" s="8" t="s">
        <v>3548</v>
      </c>
      <c r="F1036" s="8" t="s">
        <v>782</v>
      </c>
      <c r="G1036" s="8" t="s">
        <v>801</v>
      </c>
      <c r="H1036" s="8" t="s">
        <v>915</v>
      </c>
    </row>
    <row r="1037" customFormat="false" ht="15" hidden="false" customHeight="false" outlineLevel="0" collapsed="false">
      <c r="A1037" s="8" t="s">
        <v>3549</v>
      </c>
      <c r="B1037" s="8" t="s">
        <v>3550</v>
      </c>
      <c r="C1037" s="8" t="n">
        <v>2018</v>
      </c>
      <c r="D1037" s="8" t="s">
        <v>83</v>
      </c>
      <c r="E1037" s="8" t="s">
        <v>3551</v>
      </c>
      <c r="F1037" s="8" t="s">
        <v>782</v>
      </c>
      <c r="G1037" s="8" t="s">
        <v>783</v>
      </c>
      <c r="H1037" s="8" t="s">
        <v>784</v>
      </c>
    </row>
    <row r="1038" customFormat="false" ht="15" hidden="false" customHeight="false" outlineLevel="0" collapsed="false">
      <c r="A1038" s="8" t="s">
        <v>643</v>
      </c>
      <c r="B1038" s="8" t="s">
        <v>645</v>
      </c>
      <c r="C1038" s="8" t="n">
        <v>2018</v>
      </c>
      <c r="D1038" s="8" t="s">
        <v>58</v>
      </c>
      <c r="E1038" s="8" t="s">
        <v>647</v>
      </c>
      <c r="F1038" s="8" t="s">
        <v>852</v>
      </c>
      <c r="G1038" s="8" t="s">
        <v>853</v>
      </c>
      <c r="H1038" s="8" t="s">
        <v>854</v>
      </c>
    </row>
    <row r="1039" customFormat="false" ht="15" hidden="false" customHeight="false" outlineLevel="0" collapsed="false">
      <c r="A1039" s="8" t="s">
        <v>3552</v>
      </c>
      <c r="B1039" s="8" t="s">
        <v>3553</v>
      </c>
      <c r="C1039" s="8" t="n">
        <v>2018</v>
      </c>
      <c r="D1039" s="8" t="s">
        <v>58</v>
      </c>
      <c r="E1039" s="8" t="s">
        <v>3554</v>
      </c>
      <c r="F1039" s="8" t="s">
        <v>782</v>
      </c>
      <c r="G1039" s="8" t="s">
        <v>783</v>
      </c>
      <c r="H1039" s="8" t="s">
        <v>861</v>
      </c>
    </row>
    <row r="1040" customFormat="false" ht="15" hidden="false" customHeight="false" outlineLevel="0" collapsed="false">
      <c r="A1040" s="8" t="s">
        <v>3555</v>
      </c>
      <c r="B1040" s="8" t="s">
        <v>3556</v>
      </c>
      <c r="C1040" s="8" t="n">
        <v>2010</v>
      </c>
      <c r="D1040" s="8" t="s">
        <v>58</v>
      </c>
      <c r="E1040" s="8" t="s">
        <v>3557</v>
      </c>
      <c r="F1040" s="8" t="s">
        <v>782</v>
      </c>
      <c r="G1040" s="8" t="s">
        <v>783</v>
      </c>
      <c r="H1040" s="8" t="s">
        <v>784</v>
      </c>
    </row>
    <row r="1041" customFormat="false" ht="15" hidden="false" customHeight="false" outlineLevel="0" collapsed="false">
      <c r="A1041" s="8" t="s">
        <v>3558</v>
      </c>
      <c r="B1041" s="8" t="s">
        <v>3559</v>
      </c>
      <c r="C1041" s="8" t="n">
        <v>2011</v>
      </c>
      <c r="D1041" s="8" t="s">
        <v>74</v>
      </c>
      <c r="E1041" s="8" t="s">
        <v>3560</v>
      </c>
      <c r="F1041" s="8" t="s">
        <v>782</v>
      </c>
      <c r="G1041" s="8" t="s">
        <v>783</v>
      </c>
      <c r="H1041" s="8" t="s">
        <v>784</v>
      </c>
    </row>
    <row r="1042" customFormat="false" ht="15" hidden="false" customHeight="false" outlineLevel="0" collapsed="false">
      <c r="A1042" s="8" t="s">
        <v>3561</v>
      </c>
      <c r="B1042" s="8" t="s">
        <v>3562</v>
      </c>
      <c r="C1042" s="8" t="n">
        <v>2017</v>
      </c>
      <c r="D1042" s="8" t="s">
        <v>58</v>
      </c>
      <c r="E1042" s="8" t="s">
        <v>3563</v>
      </c>
      <c r="F1042" s="8" t="s">
        <v>782</v>
      </c>
      <c r="G1042" s="8" t="s">
        <v>783</v>
      </c>
      <c r="H1042" s="8" t="s">
        <v>784</v>
      </c>
    </row>
    <row r="1043" customFormat="false" ht="15" hidden="false" customHeight="false" outlineLevel="0" collapsed="false">
      <c r="A1043" s="8" t="s">
        <v>3564</v>
      </c>
      <c r="B1043" s="8" t="s">
        <v>3565</v>
      </c>
      <c r="C1043" s="8" t="n">
        <v>2010</v>
      </c>
      <c r="D1043" s="8" t="s">
        <v>58</v>
      </c>
      <c r="E1043" s="8"/>
      <c r="F1043" s="8" t="s">
        <v>782</v>
      </c>
      <c r="G1043" s="8" t="s">
        <v>783</v>
      </c>
      <c r="H1043" s="8" t="s">
        <v>784</v>
      </c>
    </row>
    <row r="1044" customFormat="false" ht="15" hidden="false" customHeight="false" outlineLevel="0" collapsed="false">
      <c r="A1044" s="8" t="s">
        <v>3566</v>
      </c>
      <c r="B1044" s="8" t="s">
        <v>3567</v>
      </c>
      <c r="C1044" s="8" t="n">
        <v>2011</v>
      </c>
      <c r="D1044" s="8" t="s">
        <v>58</v>
      </c>
      <c r="E1044" s="8" t="s">
        <v>3568</v>
      </c>
      <c r="F1044" s="8" t="s">
        <v>782</v>
      </c>
      <c r="G1044" s="8" t="s">
        <v>783</v>
      </c>
      <c r="H1044" s="8" t="s">
        <v>784</v>
      </c>
    </row>
    <row r="1045" customFormat="false" ht="15" hidden="false" customHeight="false" outlineLevel="0" collapsed="false">
      <c r="A1045" s="8" t="s">
        <v>3569</v>
      </c>
      <c r="B1045" s="8" t="s">
        <v>3570</v>
      </c>
      <c r="C1045" s="8" t="n">
        <v>2012</v>
      </c>
      <c r="D1045" s="8" t="s">
        <v>58</v>
      </c>
      <c r="E1045" s="8" t="s">
        <v>3571</v>
      </c>
      <c r="F1045" s="8" t="s">
        <v>782</v>
      </c>
      <c r="G1045" s="8" t="s">
        <v>783</v>
      </c>
      <c r="H1045" s="8" t="s">
        <v>784</v>
      </c>
    </row>
    <row r="1046" customFormat="false" ht="15" hidden="false" customHeight="false" outlineLevel="0" collapsed="false">
      <c r="A1046" s="8" t="s">
        <v>3572</v>
      </c>
      <c r="B1046" s="8" t="s">
        <v>3573</v>
      </c>
      <c r="C1046" s="8" t="n">
        <v>2018</v>
      </c>
      <c r="D1046" s="8" t="s">
        <v>83</v>
      </c>
      <c r="E1046" s="8" t="s">
        <v>3574</v>
      </c>
      <c r="F1046" s="8" t="s">
        <v>782</v>
      </c>
      <c r="G1046" s="8" t="s">
        <v>783</v>
      </c>
      <c r="H1046" s="8" t="s">
        <v>784</v>
      </c>
    </row>
    <row r="1047" customFormat="false" ht="15" hidden="false" customHeight="false" outlineLevel="0" collapsed="false">
      <c r="A1047" s="8" t="s">
        <v>3575</v>
      </c>
      <c r="B1047" s="8" t="s">
        <v>3576</v>
      </c>
      <c r="C1047" s="8" t="n">
        <v>2018</v>
      </c>
      <c r="D1047" s="8" t="s">
        <v>58</v>
      </c>
      <c r="E1047" s="8" t="s">
        <v>3577</v>
      </c>
      <c r="F1047" s="8" t="s">
        <v>782</v>
      </c>
      <c r="G1047" s="8" t="s">
        <v>783</v>
      </c>
      <c r="H1047" s="8" t="s">
        <v>861</v>
      </c>
    </row>
    <row r="1048" customFormat="false" ht="15" hidden="false" customHeight="false" outlineLevel="0" collapsed="false">
      <c r="A1048" s="8" t="s">
        <v>3578</v>
      </c>
      <c r="B1048" s="8" t="s">
        <v>3579</v>
      </c>
      <c r="C1048" s="8" t="n">
        <v>2011</v>
      </c>
      <c r="D1048" s="8" t="s">
        <v>58</v>
      </c>
      <c r="E1048" s="8" t="s">
        <v>3580</v>
      </c>
      <c r="F1048" s="8" t="s">
        <v>782</v>
      </c>
      <c r="G1048" s="8" t="s">
        <v>783</v>
      </c>
      <c r="H1048" s="8" t="s">
        <v>784</v>
      </c>
    </row>
    <row r="1049" customFormat="false" ht="15" hidden="false" customHeight="false" outlineLevel="0" collapsed="false">
      <c r="A1049" s="8" t="s">
        <v>3581</v>
      </c>
      <c r="B1049" s="8" t="s">
        <v>3582</v>
      </c>
      <c r="C1049" s="8" t="n">
        <v>2014</v>
      </c>
      <c r="D1049" s="8" t="s">
        <v>58</v>
      </c>
      <c r="E1049" s="8" t="s">
        <v>3583</v>
      </c>
      <c r="F1049" s="8" t="s">
        <v>782</v>
      </c>
      <c r="G1049" s="8" t="s">
        <v>783</v>
      </c>
      <c r="H1049" s="8" t="s">
        <v>784</v>
      </c>
    </row>
    <row r="1050" customFormat="false" ht="15" hidden="false" customHeight="false" outlineLevel="0" collapsed="false">
      <c r="A1050" s="8" t="s">
        <v>3584</v>
      </c>
      <c r="B1050" s="8" t="s">
        <v>3585</v>
      </c>
      <c r="C1050" s="8" t="n">
        <v>2012</v>
      </c>
      <c r="D1050" s="8" t="s">
        <v>58</v>
      </c>
      <c r="E1050" s="8" t="s">
        <v>3586</v>
      </c>
      <c r="F1050" s="8" t="s">
        <v>782</v>
      </c>
      <c r="G1050" s="8" t="s">
        <v>783</v>
      </c>
      <c r="H1050" s="8" t="s">
        <v>784</v>
      </c>
    </row>
    <row r="1051" customFormat="false" ht="15" hidden="false" customHeight="false" outlineLevel="0" collapsed="false">
      <c r="A1051" s="8" t="s">
        <v>3587</v>
      </c>
      <c r="B1051" s="8" t="s">
        <v>3588</v>
      </c>
      <c r="C1051" s="8" t="n">
        <v>2018</v>
      </c>
      <c r="D1051" s="8" t="s">
        <v>90</v>
      </c>
      <c r="E1051" s="8" t="s">
        <v>3589</v>
      </c>
      <c r="F1051" s="8" t="s">
        <v>782</v>
      </c>
      <c r="G1051" s="8" t="s">
        <v>783</v>
      </c>
      <c r="H1051" s="8" t="s">
        <v>784</v>
      </c>
    </row>
    <row r="1052" customFormat="false" ht="15" hidden="false" customHeight="false" outlineLevel="0" collapsed="false">
      <c r="A1052" s="8" t="s">
        <v>3590</v>
      </c>
      <c r="B1052" s="8" t="s">
        <v>3591</v>
      </c>
      <c r="C1052" s="8" t="n">
        <v>2016</v>
      </c>
      <c r="D1052" s="8" t="s">
        <v>58</v>
      </c>
      <c r="E1052" s="8" t="s">
        <v>3592</v>
      </c>
      <c r="F1052" s="8" t="s">
        <v>782</v>
      </c>
      <c r="G1052" s="8" t="s">
        <v>783</v>
      </c>
      <c r="H1052" s="8" t="s">
        <v>784</v>
      </c>
    </row>
    <row r="1053" customFormat="false" ht="15" hidden="false" customHeight="false" outlineLevel="0" collapsed="false">
      <c r="A1053" s="8" t="s">
        <v>3593</v>
      </c>
      <c r="B1053" s="8" t="s">
        <v>3594</v>
      </c>
      <c r="C1053" s="8" t="n">
        <v>2011</v>
      </c>
      <c r="D1053" s="8" t="s">
        <v>83</v>
      </c>
      <c r="E1053" s="8" t="s">
        <v>3595</v>
      </c>
      <c r="F1053" s="8" t="s">
        <v>782</v>
      </c>
      <c r="G1053" s="8" t="s">
        <v>783</v>
      </c>
      <c r="H1053" s="8" t="s">
        <v>784</v>
      </c>
    </row>
    <row r="1054" customFormat="false" ht="15" hidden="false" customHeight="false" outlineLevel="0" collapsed="false">
      <c r="A1054" s="8" t="s">
        <v>3596</v>
      </c>
      <c r="B1054" s="8" t="s">
        <v>3597</v>
      </c>
      <c r="C1054" s="8" t="n">
        <v>2010</v>
      </c>
      <c r="D1054" s="8" t="s">
        <v>58</v>
      </c>
      <c r="E1054" s="8" t="s">
        <v>3598</v>
      </c>
      <c r="F1054" s="8" t="s">
        <v>782</v>
      </c>
      <c r="G1054" s="8" t="s">
        <v>801</v>
      </c>
      <c r="H1054" s="8" t="s">
        <v>802</v>
      </c>
    </row>
    <row r="1055" customFormat="false" ht="15" hidden="false" customHeight="false" outlineLevel="0" collapsed="false">
      <c r="A1055" s="8" t="s">
        <v>3599</v>
      </c>
      <c r="B1055" s="8" t="s">
        <v>3600</v>
      </c>
      <c r="C1055" s="8" t="n">
        <v>2015</v>
      </c>
      <c r="D1055" s="8" t="s">
        <v>58</v>
      </c>
      <c r="E1055" s="8" t="s">
        <v>3601</v>
      </c>
      <c r="F1055" s="8" t="s">
        <v>782</v>
      </c>
      <c r="G1055" s="8" t="s">
        <v>783</v>
      </c>
      <c r="H1055" s="8" t="s">
        <v>784</v>
      </c>
    </row>
    <row r="1056" customFormat="false" ht="15" hidden="false" customHeight="false" outlineLevel="0" collapsed="false">
      <c r="A1056" s="8" t="s">
        <v>3602</v>
      </c>
      <c r="B1056" s="8" t="s">
        <v>3603</v>
      </c>
      <c r="C1056" s="8" t="n">
        <v>2017</v>
      </c>
      <c r="D1056" s="8" t="s">
        <v>58</v>
      </c>
      <c r="E1056" s="8" t="s">
        <v>3604</v>
      </c>
      <c r="F1056" s="8" t="s">
        <v>782</v>
      </c>
      <c r="G1056" s="8" t="s">
        <v>783</v>
      </c>
      <c r="H1056" s="8" t="s">
        <v>784</v>
      </c>
    </row>
    <row r="1057" customFormat="false" ht="15" hidden="false" customHeight="false" outlineLevel="0" collapsed="false">
      <c r="A1057" s="8" t="s">
        <v>3605</v>
      </c>
      <c r="B1057" s="8" t="s">
        <v>3606</v>
      </c>
      <c r="C1057" s="8" t="n">
        <v>2015</v>
      </c>
      <c r="D1057" s="8" t="s">
        <v>58</v>
      </c>
      <c r="E1057" s="8"/>
      <c r="F1057" s="8" t="s">
        <v>782</v>
      </c>
      <c r="G1057" s="8" t="s">
        <v>783</v>
      </c>
      <c r="H1057" s="8" t="s">
        <v>784</v>
      </c>
    </row>
    <row r="1058" customFormat="false" ht="15" hidden="false" customHeight="false" outlineLevel="0" collapsed="false">
      <c r="A1058" s="8" t="s">
        <v>3607</v>
      </c>
      <c r="B1058" s="8" t="s">
        <v>3608</v>
      </c>
      <c r="C1058" s="8" t="n">
        <v>2010</v>
      </c>
      <c r="D1058" s="8" t="s">
        <v>58</v>
      </c>
      <c r="E1058" s="8" t="s">
        <v>3609</v>
      </c>
      <c r="F1058" s="8" t="s">
        <v>782</v>
      </c>
      <c r="G1058" s="8" t="s">
        <v>783</v>
      </c>
      <c r="H1058" s="8" t="s">
        <v>784</v>
      </c>
    </row>
    <row r="1059" customFormat="false" ht="15" hidden="false" customHeight="false" outlineLevel="0" collapsed="false">
      <c r="A1059" s="8" t="s">
        <v>3610</v>
      </c>
      <c r="B1059" s="8" t="s">
        <v>3611</v>
      </c>
      <c r="C1059" s="8" t="n">
        <v>2017</v>
      </c>
      <c r="D1059" s="8" t="s">
        <v>58</v>
      </c>
      <c r="E1059" s="8" t="s">
        <v>3612</v>
      </c>
      <c r="F1059" s="8" t="s">
        <v>782</v>
      </c>
      <c r="G1059" s="8" t="s">
        <v>783</v>
      </c>
      <c r="H1059" s="8" t="s">
        <v>784</v>
      </c>
    </row>
    <row r="1060" customFormat="false" ht="15" hidden="false" customHeight="false" outlineLevel="0" collapsed="false">
      <c r="A1060" s="8" t="s">
        <v>3613</v>
      </c>
      <c r="B1060" s="8" t="s">
        <v>3614</v>
      </c>
      <c r="C1060" s="8" t="n">
        <v>2014</v>
      </c>
      <c r="D1060" s="8" t="s">
        <v>58</v>
      </c>
      <c r="E1060" s="8" t="s">
        <v>3615</v>
      </c>
      <c r="F1060" s="8" t="s">
        <v>782</v>
      </c>
      <c r="G1060" s="8" t="s">
        <v>966</v>
      </c>
      <c r="H1060" s="8" t="s">
        <v>967</v>
      </c>
    </row>
    <row r="1061" customFormat="false" ht="15" hidden="false" customHeight="false" outlineLevel="0" collapsed="false">
      <c r="A1061" s="8" t="s">
        <v>3616</v>
      </c>
      <c r="B1061" s="8" t="s">
        <v>3617</v>
      </c>
      <c r="C1061" s="8" t="n">
        <v>2016</v>
      </c>
      <c r="D1061" s="8" t="s">
        <v>83</v>
      </c>
      <c r="E1061" s="8" t="s">
        <v>3618</v>
      </c>
      <c r="F1061" s="8" t="s">
        <v>782</v>
      </c>
      <c r="G1061" s="8" t="s">
        <v>783</v>
      </c>
      <c r="H1061" s="8" t="s">
        <v>784</v>
      </c>
    </row>
    <row r="1062" customFormat="false" ht="15" hidden="false" customHeight="false" outlineLevel="0" collapsed="false">
      <c r="A1062" s="8" t="s">
        <v>3619</v>
      </c>
      <c r="B1062" s="8" t="s">
        <v>3620</v>
      </c>
      <c r="C1062" s="8" t="n">
        <v>2018</v>
      </c>
      <c r="D1062" s="8" t="s">
        <v>58</v>
      </c>
      <c r="E1062" s="8" t="s">
        <v>3621</v>
      </c>
      <c r="F1062" s="8" t="s">
        <v>782</v>
      </c>
      <c r="G1062" s="8" t="s">
        <v>783</v>
      </c>
      <c r="H1062" s="8" t="s">
        <v>784</v>
      </c>
    </row>
    <row r="1063" customFormat="false" ht="15" hidden="false" customHeight="false" outlineLevel="0" collapsed="false">
      <c r="A1063" s="8" t="s">
        <v>3622</v>
      </c>
      <c r="B1063" s="8" t="s">
        <v>3623</v>
      </c>
      <c r="C1063" s="8" t="n">
        <v>2011</v>
      </c>
      <c r="D1063" s="8" t="s">
        <v>58</v>
      </c>
      <c r="E1063" s="8" t="s">
        <v>3624</v>
      </c>
      <c r="F1063" s="8" t="s">
        <v>782</v>
      </c>
      <c r="G1063" s="8" t="s">
        <v>801</v>
      </c>
      <c r="H1063" s="8" t="s">
        <v>802</v>
      </c>
    </row>
    <row r="1064" customFormat="false" ht="15" hidden="false" customHeight="false" outlineLevel="0" collapsed="false">
      <c r="A1064" s="8" t="s">
        <v>752</v>
      </c>
      <c r="B1064" s="8" t="s">
        <v>754</v>
      </c>
      <c r="C1064" s="8" t="n">
        <v>2011</v>
      </c>
      <c r="D1064" s="8" t="s">
        <v>83</v>
      </c>
      <c r="E1064" s="8" t="s">
        <v>756</v>
      </c>
      <c r="F1064" s="8" t="s">
        <v>852</v>
      </c>
      <c r="G1064" s="8" t="s">
        <v>853</v>
      </c>
      <c r="H1064" s="8" t="s">
        <v>854</v>
      </c>
    </row>
    <row r="1065" customFormat="false" ht="15" hidden="false" customHeight="false" outlineLevel="0" collapsed="false">
      <c r="A1065" s="8" t="s">
        <v>3625</v>
      </c>
      <c r="B1065" s="8" t="s">
        <v>3626</v>
      </c>
      <c r="C1065" s="8" t="n">
        <v>2014</v>
      </c>
      <c r="D1065" s="8" t="s">
        <v>58</v>
      </c>
      <c r="E1065" s="8" t="s">
        <v>3627</v>
      </c>
      <c r="F1065" s="8" t="s">
        <v>782</v>
      </c>
      <c r="G1065" s="8" t="s">
        <v>783</v>
      </c>
      <c r="H1065" s="8" t="s">
        <v>784</v>
      </c>
    </row>
    <row r="1066" customFormat="false" ht="15" hidden="false" customHeight="false" outlineLevel="0" collapsed="false">
      <c r="A1066" s="8" t="s">
        <v>3628</v>
      </c>
      <c r="B1066" s="8" t="s">
        <v>3629</v>
      </c>
      <c r="C1066" s="8" t="n">
        <v>2018</v>
      </c>
      <c r="D1066" s="8" t="s">
        <v>58</v>
      </c>
      <c r="E1066" s="8" t="s">
        <v>3630</v>
      </c>
      <c r="F1066" s="8" t="s">
        <v>782</v>
      </c>
      <c r="G1066" s="8" t="s">
        <v>783</v>
      </c>
      <c r="H1066" s="8" t="s">
        <v>784</v>
      </c>
    </row>
    <row r="1067" customFormat="false" ht="15" hidden="false" customHeight="false" outlineLevel="0" collapsed="false">
      <c r="A1067" s="8" t="s">
        <v>3631</v>
      </c>
      <c r="B1067" s="8" t="s">
        <v>3632</v>
      </c>
      <c r="C1067" s="8" t="n">
        <v>2012</v>
      </c>
      <c r="D1067" s="8" t="s">
        <v>58</v>
      </c>
      <c r="E1067" s="8"/>
      <c r="F1067" s="8" t="s">
        <v>782</v>
      </c>
      <c r="G1067" s="8" t="s">
        <v>783</v>
      </c>
      <c r="H1067" s="8" t="s">
        <v>784</v>
      </c>
    </row>
    <row r="1068" customFormat="false" ht="15" hidden="false" customHeight="false" outlineLevel="0" collapsed="false">
      <c r="A1068" s="8" t="s">
        <v>3633</v>
      </c>
      <c r="B1068" s="8" t="s">
        <v>3634</v>
      </c>
      <c r="C1068" s="8" t="n">
        <v>2017</v>
      </c>
      <c r="D1068" s="8" t="s">
        <v>58</v>
      </c>
      <c r="E1068" s="8" t="s">
        <v>3635</v>
      </c>
      <c r="F1068" s="8" t="s">
        <v>782</v>
      </c>
      <c r="G1068" s="8" t="s">
        <v>783</v>
      </c>
      <c r="H1068" s="8" t="s">
        <v>784</v>
      </c>
    </row>
    <row r="1069" customFormat="false" ht="15" hidden="false" customHeight="false" outlineLevel="0" collapsed="false">
      <c r="A1069" s="8" t="s">
        <v>3636</v>
      </c>
      <c r="B1069" s="8" t="s">
        <v>3637</v>
      </c>
      <c r="C1069" s="8" t="n">
        <v>2017</v>
      </c>
      <c r="D1069" s="8" t="s">
        <v>58</v>
      </c>
      <c r="E1069" s="8" t="s">
        <v>3638</v>
      </c>
      <c r="F1069" s="8" t="s">
        <v>782</v>
      </c>
      <c r="G1069" s="8" t="s">
        <v>783</v>
      </c>
      <c r="H1069" s="8" t="s">
        <v>784</v>
      </c>
    </row>
    <row r="1070" customFormat="false" ht="15" hidden="false" customHeight="false" outlineLevel="0" collapsed="false">
      <c r="A1070" s="8" t="s">
        <v>3639</v>
      </c>
      <c r="B1070" s="8" t="s">
        <v>3640</v>
      </c>
      <c r="C1070" s="8" t="n">
        <v>2018</v>
      </c>
      <c r="D1070" s="8" t="s">
        <v>58</v>
      </c>
      <c r="E1070" s="8" t="s">
        <v>3641</v>
      </c>
      <c r="F1070" s="8" t="s">
        <v>782</v>
      </c>
      <c r="G1070" s="8" t="s">
        <v>783</v>
      </c>
      <c r="H1070" s="8" t="s">
        <v>861</v>
      </c>
    </row>
    <row r="1071" customFormat="false" ht="15" hidden="false" customHeight="false" outlineLevel="0" collapsed="false">
      <c r="A1071" s="8" t="s">
        <v>677</v>
      </c>
      <c r="B1071" s="8" t="s">
        <v>679</v>
      </c>
      <c r="C1071" s="8" t="n">
        <v>2017</v>
      </c>
      <c r="D1071" s="8" t="s">
        <v>58</v>
      </c>
      <c r="E1071" s="8" t="s">
        <v>680</v>
      </c>
      <c r="F1071" s="8" t="s">
        <v>852</v>
      </c>
      <c r="G1071" s="8" t="s">
        <v>853</v>
      </c>
      <c r="H1071" s="8" t="s">
        <v>854</v>
      </c>
    </row>
    <row r="1072" customFormat="false" ht="15" hidden="false" customHeight="false" outlineLevel="0" collapsed="false">
      <c r="A1072" s="8" t="s">
        <v>3642</v>
      </c>
      <c r="B1072" s="8" t="s">
        <v>3643</v>
      </c>
      <c r="C1072" s="8" t="n">
        <v>2017</v>
      </c>
      <c r="D1072" s="8" t="s">
        <v>58</v>
      </c>
      <c r="E1072" s="8" t="s">
        <v>3644</v>
      </c>
      <c r="F1072" s="8" t="s">
        <v>782</v>
      </c>
      <c r="G1072" s="8" t="s">
        <v>783</v>
      </c>
      <c r="H1072" s="8" t="s">
        <v>784</v>
      </c>
    </row>
    <row r="1073" customFormat="false" ht="15" hidden="false" customHeight="false" outlineLevel="0" collapsed="false">
      <c r="A1073" s="8" t="s">
        <v>3645</v>
      </c>
      <c r="B1073" s="8" t="s">
        <v>3646</v>
      </c>
      <c r="C1073" s="8" t="n">
        <v>2015</v>
      </c>
      <c r="D1073" s="8" t="s">
        <v>58</v>
      </c>
      <c r="E1073" s="8" t="s">
        <v>3647</v>
      </c>
      <c r="F1073" s="8" t="s">
        <v>782</v>
      </c>
      <c r="G1073" s="8" t="s">
        <v>783</v>
      </c>
      <c r="H1073" s="8" t="s">
        <v>784</v>
      </c>
    </row>
    <row r="1074" customFormat="false" ht="15" hidden="false" customHeight="false" outlineLevel="0" collapsed="false">
      <c r="A1074" s="8" t="s">
        <v>3648</v>
      </c>
      <c r="B1074" s="8" t="s">
        <v>3649</v>
      </c>
      <c r="C1074" s="8" t="n">
        <v>2011</v>
      </c>
      <c r="D1074" s="8" t="s">
        <v>58</v>
      </c>
      <c r="E1074" s="8" t="s">
        <v>3650</v>
      </c>
      <c r="F1074" s="8" t="s">
        <v>782</v>
      </c>
      <c r="G1074" s="8" t="s">
        <v>788</v>
      </c>
      <c r="H1074" s="8" t="s">
        <v>789</v>
      </c>
    </row>
    <row r="1075" customFormat="false" ht="15" hidden="false" customHeight="false" outlineLevel="0" collapsed="false">
      <c r="A1075" s="8" t="s">
        <v>3651</v>
      </c>
      <c r="B1075" s="8" t="s">
        <v>3652</v>
      </c>
      <c r="C1075" s="8" t="n">
        <v>2016</v>
      </c>
      <c r="D1075" s="8" t="s">
        <v>58</v>
      </c>
      <c r="E1075" s="8" t="s">
        <v>3653</v>
      </c>
      <c r="F1075" s="8" t="s">
        <v>782</v>
      </c>
      <c r="G1075" s="8" t="s">
        <v>783</v>
      </c>
      <c r="H1075" s="8" t="s">
        <v>861</v>
      </c>
    </row>
    <row r="1076" customFormat="false" ht="15" hidden="false" customHeight="false" outlineLevel="0" collapsed="false">
      <c r="A1076" s="8" t="s">
        <v>3654</v>
      </c>
      <c r="B1076" s="8" t="s">
        <v>3655</v>
      </c>
      <c r="C1076" s="8" t="n">
        <v>2015</v>
      </c>
      <c r="D1076" s="8" t="s">
        <v>58</v>
      </c>
      <c r="E1076" s="8"/>
      <c r="F1076" s="8" t="s">
        <v>782</v>
      </c>
      <c r="G1076" s="8" t="s">
        <v>783</v>
      </c>
      <c r="H1076" s="8" t="s">
        <v>784</v>
      </c>
    </row>
    <row r="1077" customFormat="false" ht="15" hidden="false" customHeight="false" outlineLevel="0" collapsed="false">
      <c r="A1077" s="8" t="s">
        <v>3656</v>
      </c>
      <c r="B1077" s="8" t="s">
        <v>3657</v>
      </c>
      <c r="C1077" s="8" t="n">
        <v>2010</v>
      </c>
      <c r="D1077" s="8" t="s">
        <v>58</v>
      </c>
      <c r="E1077" s="8" t="s">
        <v>3658</v>
      </c>
      <c r="F1077" s="8" t="s">
        <v>782</v>
      </c>
      <c r="G1077" s="8" t="s">
        <v>783</v>
      </c>
      <c r="H1077" s="8" t="s">
        <v>784</v>
      </c>
    </row>
    <row r="1078" customFormat="false" ht="15" hidden="false" customHeight="false" outlineLevel="0" collapsed="false">
      <c r="A1078" s="8" t="s">
        <v>694</v>
      </c>
      <c r="B1078" s="8" t="s">
        <v>696</v>
      </c>
      <c r="C1078" s="8" t="n">
        <v>2017</v>
      </c>
      <c r="D1078" s="8" t="s">
        <v>58</v>
      </c>
      <c r="E1078" s="8" t="s">
        <v>698</v>
      </c>
      <c r="F1078" s="8" t="s">
        <v>852</v>
      </c>
      <c r="G1078" s="8" t="s">
        <v>853</v>
      </c>
      <c r="H1078" s="8" t="s">
        <v>854</v>
      </c>
    </row>
    <row r="1079" customFormat="false" ht="15" hidden="false" customHeight="false" outlineLevel="0" collapsed="false">
      <c r="A1079" s="8" t="s">
        <v>3659</v>
      </c>
      <c r="B1079" s="8" t="s">
        <v>3660</v>
      </c>
      <c r="C1079" s="8" t="n">
        <v>2011</v>
      </c>
      <c r="D1079" s="8" t="s">
        <v>83</v>
      </c>
      <c r="E1079" s="8" t="s">
        <v>3661</v>
      </c>
      <c r="F1079" s="8" t="s">
        <v>782</v>
      </c>
      <c r="G1079" s="8" t="s">
        <v>801</v>
      </c>
      <c r="H1079" s="8" t="s">
        <v>915</v>
      </c>
    </row>
    <row r="1080" customFormat="false" ht="15" hidden="false" customHeight="false" outlineLevel="0" collapsed="false">
      <c r="A1080" s="8" t="s">
        <v>3662</v>
      </c>
      <c r="B1080" s="8" t="s">
        <v>3663</v>
      </c>
      <c r="C1080" s="8" t="n">
        <v>2010</v>
      </c>
      <c r="D1080" s="8" t="s">
        <v>83</v>
      </c>
      <c r="E1080" s="8" t="s">
        <v>3664</v>
      </c>
      <c r="F1080" s="8" t="s">
        <v>782</v>
      </c>
      <c r="G1080" s="8" t="s">
        <v>801</v>
      </c>
      <c r="H1080" s="8" t="s">
        <v>915</v>
      </c>
    </row>
    <row r="1081" customFormat="false" ht="15" hidden="false" customHeight="false" outlineLevel="0" collapsed="false">
      <c r="A1081" s="8" t="s">
        <v>3665</v>
      </c>
      <c r="B1081" s="8" t="s">
        <v>3666</v>
      </c>
      <c r="C1081" s="8" t="n">
        <v>2016</v>
      </c>
      <c r="D1081" s="8" t="s">
        <v>58</v>
      </c>
      <c r="E1081" s="8" t="s">
        <v>3667</v>
      </c>
      <c r="F1081" s="8" t="s">
        <v>782</v>
      </c>
      <c r="G1081" s="8" t="s">
        <v>783</v>
      </c>
      <c r="H1081" s="8" t="s">
        <v>784</v>
      </c>
    </row>
    <row r="1082" customFormat="false" ht="15" hidden="false" customHeight="false" outlineLevel="0" collapsed="false">
      <c r="A1082" s="8" t="s">
        <v>3668</v>
      </c>
      <c r="B1082" s="8" t="s">
        <v>3669</v>
      </c>
      <c r="C1082" s="8" t="n">
        <v>2014</v>
      </c>
      <c r="D1082" s="8" t="s">
        <v>58</v>
      </c>
      <c r="E1082" s="8" t="s">
        <v>3670</v>
      </c>
      <c r="F1082" s="8" t="s">
        <v>782</v>
      </c>
      <c r="G1082" s="8" t="s">
        <v>783</v>
      </c>
      <c r="H1082" s="8" t="s">
        <v>784</v>
      </c>
    </row>
    <row r="1083" customFormat="false" ht="15" hidden="false" customHeight="false" outlineLevel="0" collapsed="false">
      <c r="A1083" s="8" t="s">
        <v>3671</v>
      </c>
      <c r="B1083" s="8" t="s">
        <v>3672</v>
      </c>
      <c r="C1083" s="8" t="n">
        <v>2011</v>
      </c>
      <c r="D1083" s="8" t="s">
        <v>58</v>
      </c>
      <c r="E1083" s="8" t="s">
        <v>3673</v>
      </c>
      <c r="F1083" s="8" t="s">
        <v>782</v>
      </c>
      <c r="G1083" s="8" t="s">
        <v>783</v>
      </c>
      <c r="H1083" s="8" t="s">
        <v>784</v>
      </c>
    </row>
    <row r="1084" customFormat="false" ht="15" hidden="false" customHeight="false" outlineLevel="0" collapsed="false">
      <c r="A1084" s="8" t="s">
        <v>3674</v>
      </c>
      <c r="B1084" s="8" t="s">
        <v>3675</v>
      </c>
      <c r="C1084" s="8" t="n">
        <v>2013</v>
      </c>
      <c r="D1084" s="8" t="s">
        <v>58</v>
      </c>
      <c r="E1084" s="8" t="s">
        <v>3676</v>
      </c>
      <c r="F1084" s="8" t="s">
        <v>782</v>
      </c>
      <c r="G1084" s="8" t="s">
        <v>783</v>
      </c>
      <c r="H1084" s="8" t="s">
        <v>784</v>
      </c>
    </row>
    <row r="1085" customFormat="false" ht="15" hidden="false" customHeight="false" outlineLevel="0" collapsed="false">
      <c r="A1085" s="8" t="s">
        <v>3677</v>
      </c>
      <c r="B1085" s="8" t="s">
        <v>3678</v>
      </c>
      <c r="C1085" s="8" t="n">
        <v>2017</v>
      </c>
      <c r="D1085" s="8" t="s">
        <v>90</v>
      </c>
      <c r="E1085" s="8" t="s">
        <v>3679</v>
      </c>
      <c r="F1085" s="8" t="s">
        <v>782</v>
      </c>
      <c r="G1085" s="8" t="s">
        <v>783</v>
      </c>
      <c r="H1085" s="8" t="s">
        <v>784</v>
      </c>
    </row>
    <row r="1086" customFormat="false" ht="15" hidden="false" customHeight="false" outlineLevel="0" collapsed="false">
      <c r="A1086" s="8" t="s">
        <v>3680</v>
      </c>
      <c r="B1086" s="8" t="s">
        <v>3681</v>
      </c>
      <c r="C1086" s="8" t="n">
        <v>2017</v>
      </c>
      <c r="D1086" s="8" t="s">
        <v>58</v>
      </c>
      <c r="E1086" s="8"/>
      <c r="F1086" s="8" t="s">
        <v>782</v>
      </c>
      <c r="G1086" s="8" t="s">
        <v>783</v>
      </c>
      <c r="H1086" s="8" t="s">
        <v>784</v>
      </c>
    </row>
    <row r="1087" customFormat="false" ht="15" hidden="false" customHeight="false" outlineLevel="0" collapsed="false">
      <c r="A1087" s="8" t="s">
        <v>3682</v>
      </c>
      <c r="B1087" s="8" t="s">
        <v>3683</v>
      </c>
      <c r="C1087" s="8" t="n">
        <v>2014</v>
      </c>
      <c r="D1087" s="8" t="s">
        <v>58</v>
      </c>
      <c r="E1087" s="8" t="s">
        <v>3684</v>
      </c>
      <c r="F1087" s="8" t="s">
        <v>782</v>
      </c>
      <c r="G1087" s="8" t="s">
        <v>801</v>
      </c>
      <c r="H1087" s="8" t="s">
        <v>915</v>
      </c>
    </row>
    <row r="1088" customFormat="false" ht="15" hidden="false" customHeight="false" outlineLevel="0" collapsed="false">
      <c r="A1088" s="8" t="s">
        <v>3685</v>
      </c>
      <c r="B1088" s="8" t="s">
        <v>3686</v>
      </c>
      <c r="C1088" s="8" t="n">
        <v>2017</v>
      </c>
      <c r="D1088" s="8" t="s">
        <v>58</v>
      </c>
      <c r="E1088" s="8" t="s">
        <v>3687</v>
      </c>
      <c r="F1088" s="8" t="s">
        <v>782</v>
      </c>
      <c r="G1088" s="8" t="s">
        <v>783</v>
      </c>
      <c r="H1088" s="8" t="s">
        <v>784</v>
      </c>
    </row>
    <row r="1089" customFormat="false" ht="15" hidden="false" customHeight="false" outlineLevel="0" collapsed="false">
      <c r="A1089" s="8" t="s">
        <v>3688</v>
      </c>
      <c r="B1089" s="8" t="s">
        <v>3689</v>
      </c>
      <c r="C1089" s="8" t="n">
        <v>2011</v>
      </c>
      <c r="D1089" s="8" t="s">
        <v>83</v>
      </c>
      <c r="E1089" s="8" t="s">
        <v>3690</v>
      </c>
      <c r="F1089" s="8" t="s">
        <v>782</v>
      </c>
      <c r="G1089" s="8" t="s">
        <v>783</v>
      </c>
      <c r="H1089" s="8" t="s">
        <v>784</v>
      </c>
    </row>
    <row r="1090" customFormat="false" ht="15" hidden="false" customHeight="false" outlineLevel="0" collapsed="false">
      <c r="A1090" s="8" t="s">
        <v>3691</v>
      </c>
      <c r="B1090" s="8" t="s">
        <v>3692</v>
      </c>
      <c r="C1090" s="8" t="n">
        <v>2017</v>
      </c>
      <c r="D1090" s="8" t="s">
        <v>58</v>
      </c>
      <c r="E1090" s="8" t="s">
        <v>3693</v>
      </c>
      <c r="F1090" s="8" t="s">
        <v>782</v>
      </c>
      <c r="G1090" s="8" t="s">
        <v>783</v>
      </c>
      <c r="H1090" s="8" t="s">
        <v>784</v>
      </c>
    </row>
    <row r="1091" customFormat="false" ht="15" hidden="false" customHeight="false" outlineLevel="0" collapsed="false">
      <c r="A1091" s="8" t="s">
        <v>3694</v>
      </c>
      <c r="B1091" s="8" t="s">
        <v>3695</v>
      </c>
      <c r="C1091" s="8" t="n">
        <v>2016</v>
      </c>
      <c r="D1091" s="8" t="s">
        <v>58</v>
      </c>
      <c r="E1091" s="8" t="s">
        <v>3696</v>
      </c>
      <c r="F1091" s="8" t="s">
        <v>782</v>
      </c>
      <c r="G1091" s="8" t="s">
        <v>783</v>
      </c>
      <c r="H1091" s="8" t="s">
        <v>784</v>
      </c>
    </row>
    <row r="1092" customFormat="false" ht="15" hidden="false" customHeight="false" outlineLevel="0" collapsed="false">
      <c r="A1092" s="8" t="s">
        <v>3697</v>
      </c>
      <c r="B1092" s="8" t="s">
        <v>3698</v>
      </c>
      <c r="C1092" s="8" t="n">
        <v>2019</v>
      </c>
      <c r="D1092" s="8" t="s">
        <v>58</v>
      </c>
      <c r="E1092" s="8" t="s">
        <v>3699</v>
      </c>
      <c r="F1092" s="8" t="s">
        <v>782</v>
      </c>
      <c r="G1092" s="8" t="s">
        <v>783</v>
      </c>
      <c r="H1092" s="8" t="s">
        <v>784</v>
      </c>
    </row>
    <row r="1093" customFormat="false" ht="15" hidden="false" customHeight="false" outlineLevel="0" collapsed="false">
      <c r="A1093" s="8" t="s">
        <v>3700</v>
      </c>
      <c r="B1093" s="8" t="s">
        <v>3701</v>
      </c>
      <c r="C1093" s="8" t="n">
        <v>2011</v>
      </c>
      <c r="D1093" s="8" t="s">
        <v>83</v>
      </c>
      <c r="E1093" s="8" t="s">
        <v>3702</v>
      </c>
      <c r="F1093" s="8" t="s">
        <v>782</v>
      </c>
      <c r="G1093" s="8" t="s">
        <v>783</v>
      </c>
      <c r="H1093" s="8" t="s">
        <v>784</v>
      </c>
    </row>
    <row r="1094" customFormat="false" ht="15" hidden="false" customHeight="false" outlineLevel="0" collapsed="false">
      <c r="A1094" s="8" t="s">
        <v>3703</v>
      </c>
      <c r="B1094" s="8" t="s">
        <v>3704</v>
      </c>
      <c r="C1094" s="8" t="n">
        <v>2010</v>
      </c>
      <c r="D1094" s="8" t="s">
        <v>83</v>
      </c>
      <c r="E1094" s="8" t="s">
        <v>3705</v>
      </c>
      <c r="F1094" s="8" t="s">
        <v>782</v>
      </c>
      <c r="G1094" s="8" t="s">
        <v>801</v>
      </c>
      <c r="H1094" s="8" t="s">
        <v>915</v>
      </c>
    </row>
    <row r="1095" customFormat="false" ht="15" hidden="false" customHeight="false" outlineLevel="0" collapsed="false">
      <c r="A1095" s="8" t="s">
        <v>3706</v>
      </c>
      <c r="B1095" s="8" t="s">
        <v>3707</v>
      </c>
      <c r="C1095" s="8" t="n">
        <v>2015</v>
      </c>
      <c r="D1095" s="8" t="s">
        <v>58</v>
      </c>
      <c r="E1095" s="8"/>
      <c r="F1095" s="8" t="s">
        <v>782</v>
      </c>
      <c r="G1095" s="8" t="s">
        <v>783</v>
      </c>
      <c r="H1095" s="8" t="s">
        <v>784</v>
      </c>
    </row>
    <row r="1096" customFormat="false" ht="15" hidden="false" customHeight="false" outlineLevel="0" collapsed="false">
      <c r="A1096" s="8" t="s">
        <v>3708</v>
      </c>
      <c r="B1096" s="8" t="s">
        <v>3709</v>
      </c>
      <c r="C1096" s="8" t="n">
        <v>2016</v>
      </c>
      <c r="D1096" s="8" t="s">
        <v>970</v>
      </c>
      <c r="E1096" s="8" t="s">
        <v>3710</v>
      </c>
      <c r="F1096" s="8" t="s">
        <v>782</v>
      </c>
      <c r="G1096" s="8" t="s">
        <v>972</v>
      </c>
      <c r="H1096" s="8" t="s">
        <v>973</v>
      </c>
    </row>
    <row r="1097" customFormat="false" ht="15" hidden="false" customHeight="false" outlineLevel="0" collapsed="false">
      <c r="A1097" s="8" t="s">
        <v>3711</v>
      </c>
      <c r="B1097" s="8" t="s">
        <v>3712</v>
      </c>
      <c r="C1097" s="8" t="n">
        <v>2018</v>
      </c>
      <c r="D1097" s="8" t="s">
        <v>58</v>
      </c>
      <c r="E1097" s="8" t="s">
        <v>3713</v>
      </c>
      <c r="F1097" s="8" t="s">
        <v>782</v>
      </c>
      <c r="G1097" s="8" t="s">
        <v>783</v>
      </c>
      <c r="H1097" s="8" t="s">
        <v>784</v>
      </c>
    </row>
    <row r="1098" customFormat="false" ht="15" hidden="false" customHeight="false" outlineLevel="0" collapsed="false">
      <c r="A1098" s="8" t="s">
        <v>3714</v>
      </c>
      <c r="B1098" s="8" t="s">
        <v>3715</v>
      </c>
      <c r="C1098" s="8" t="n">
        <v>2013</v>
      </c>
      <c r="D1098" s="8" t="s">
        <v>83</v>
      </c>
      <c r="E1098" s="8" t="s">
        <v>3716</v>
      </c>
      <c r="F1098" s="8" t="s">
        <v>782</v>
      </c>
      <c r="G1098" s="8" t="s">
        <v>783</v>
      </c>
      <c r="H1098" s="8" t="s">
        <v>784</v>
      </c>
    </row>
    <row r="1099" customFormat="false" ht="15" hidden="false" customHeight="false" outlineLevel="0" collapsed="false">
      <c r="A1099" s="8" t="s">
        <v>3717</v>
      </c>
      <c r="B1099" s="8" t="s">
        <v>3718</v>
      </c>
      <c r="C1099" s="8" t="n">
        <v>2016</v>
      </c>
      <c r="D1099" s="8" t="s">
        <v>58</v>
      </c>
      <c r="E1099" s="8" t="s">
        <v>3719</v>
      </c>
      <c r="F1099" s="8" t="s">
        <v>782</v>
      </c>
      <c r="G1099" s="8" t="s">
        <v>783</v>
      </c>
      <c r="H1099" s="8" t="s">
        <v>784</v>
      </c>
    </row>
    <row r="1100" customFormat="false" ht="15" hidden="false" customHeight="false" outlineLevel="0" collapsed="false">
      <c r="A1100" s="8" t="s">
        <v>3720</v>
      </c>
      <c r="B1100" s="8" t="s">
        <v>3721</v>
      </c>
      <c r="C1100" s="8" t="n">
        <v>2010</v>
      </c>
      <c r="D1100" s="8" t="s">
        <v>58</v>
      </c>
      <c r="E1100" s="8" t="s">
        <v>3722</v>
      </c>
      <c r="F1100" s="8" t="s">
        <v>782</v>
      </c>
      <c r="G1100" s="8" t="s">
        <v>801</v>
      </c>
      <c r="H1100" s="8" t="s">
        <v>915</v>
      </c>
    </row>
    <row r="1101" customFormat="false" ht="15" hidden="false" customHeight="false" outlineLevel="0" collapsed="false">
      <c r="A1101" s="8" t="s">
        <v>3723</v>
      </c>
      <c r="B1101" s="8" t="s">
        <v>3724</v>
      </c>
      <c r="C1101" s="8" t="n">
        <v>2015</v>
      </c>
      <c r="D1101" s="8" t="s">
        <v>58</v>
      </c>
      <c r="E1101" s="8" t="s">
        <v>3725</v>
      </c>
      <c r="F1101" s="8" t="s">
        <v>782</v>
      </c>
      <c r="G1101" s="8" t="s">
        <v>783</v>
      </c>
      <c r="H1101" s="8" t="s">
        <v>784</v>
      </c>
    </row>
    <row r="1102" customFormat="false" ht="15" hidden="false" customHeight="false" outlineLevel="0" collapsed="false">
      <c r="A1102" s="8" t="s">
        <v>3726</v>
      </c>
      <c r="B1102" s="8" t="s">
        <v>3727</v>
      </c>
      <c r="C1102" s="8" t="n">
        <v>2015</v>
      </c>
      <c r="D1102" s="8" t="s">
        <v>58</v>
      </c>
      <c r="E1102" s="8" t="s">
        <v>3728</v>
      </c>
      <c r="F1102" s="8" t="s">
        <v>782</v>
      </c>
      <c r="G1102" s="8" t="s">
        <v>783</v>
      </c>
      <c r="H1102" s="8" t="s">
        <v>784</v>
      </c>
    </row>
    <row r="1103" customFormat="false" ht="15" hidden="false" customHeight="false" outlineLevel="0" collapsed="false">
      <c r="A1103" s="8" t="s">
        <v>3729</v>
      </c>
      <c r="B1103" s="8" t="s">
        <v>3730</v>
      </c>
      <c r="C1103" s="8" t="n">
        <v>2010</v>
      </c>
      <c r="D1103" s="8" t="s">
        <v>58</v>
      </c>
      <c r="E1103" s="8" t="s">
        <v>3731</v>
      </c>
      <c r="F1103" s="8" t="s">
        <v>782</v>
      </c>
      <c r="G1103" s="8" t="s">
        <v>801</v>
      </c>
      <c r="H1103" s="8" t="s">
        <v>915</v>
      </c>
    </row>
    <row r="1104" customFormat="false" ht="15" hidden="false" customHeight="false" outlineLevel="0" collapsed="false">
      <c r="A1104" s="8" t="s">
        <v>3732</v>
      </c>
      <c r="B1104" s="8" t="s">
        <v>3733</v>
      </c>
      <c r="C1104" s="8" t="n">
        <v>2018</v>
      </c>
      <c r="D1104" s="8" t="s">
        <v>90</v>
      </c>
      <c r="E1104" s="8" t="s">
        <v>3734</v>
      </c>
      <c r="F1104" s="8" t="s">
        <v>782</v>
      </c>
      <c r="G1104" s="8" t="s">
        <v>783</v>
      </c>
      <c r="H1104" s="8" t="s">
        <v>861</v>
      </c>
    </row>
    <row r="1105" customFormat="false" ht="15" hidden="false" customHeight="false" outlineLevel="0" collapsed="false">
      <c r="A1105" s="8" t="s">
        <v>741</v>
      </c>
      <c r="B1105" s="8" t="s">
        <v>743</v>
      </c>
      <c r="C1105" s="8" t="n">
        <v>2012</v>
      </c>
      <c r="D1105" s="8" t="s">
        <v>58</v>
      </c>
      <c r="E1105" s="8" t="s">
        <v>745</v>
      </c>
      <c r="F1105" s="8" t="s">
        <v>852</v>
      </c>
      <c r="G1105" s="8" t="s">
        <v>853</v>
      </c>
      <c r="H1105" s="8" t="s">
        <v>854</v>
      </c>
    </row>
    <row r="1106" customFormat="false" ht="15" hidden="false" customHeight="false" outlineLevel="0" collapsed="false">
      <c r="A1106" s="8" t="s">
        <v>3735</v>
      </c>
      <c r="B1106" s="8" t="s">
        <v>3736</v>
      </c>
      <c r="C1106" s="8" t="n">
        <v>2018</v>
      </c>
      <c r="D1106" s="8" t="s">
        <v>83</v>
      </c>
      <c r="E1106" s="8" t="s">
        <v>3737</v>
      </c>
      <c r="F1106" s="8" t="s">
        <v>782</v>
      </c>
      <c r="G1106" s="8" t="s">
        <v>783</v>
      </c>
      <c r="H1106" s="8" t="s">
        <v>784</v>
      </c>
    </row>
    <row r="1107" customFormat="false" ht="15" hidden="false" customHeight="false" outlineLevel="0" collapsed="false">
      <c r="A1107" s="8" t="s">
        <v>3738</v>
      </c>
      <c r="B1107" s="8" t="s">
        <v>3739</v>
      </c>
      <c r="C1107" s="8" t="n">
        <v>2016</v>
      </c>
      <c r="D1107" s="8" t="s">
        <v>83</v>
      </c>
      <c r="E1107" s="8" t="s">
        <v>3740</v>
      </c>
      <c r="F1107" s="8" t="s">
        <v>782</v>
      </c>
      <c r="G1107" s="8" t="s">
        <v>783</v>
      </c>
      <c r="H1107" s="8" t="s">
        <v>784</v>
      </c>
    </row>
    <row r="1108" customFormat="false" ht="15" hidden="false" customHeight="false" outlineLevel="0" collapsed="false">
      <c r="A1108" s="8" t="s">
        <v>3741</v>
      </c>
      <c r="B1108" s="8" t="s">
        <v>3742</v>
      </c>
      <c r="C1108" s="8" t="n">
        <v>2013</v>
      </c>
      <c r="D1108" s="8" t="s">
        <v>58</v>
      </c>
      <c r="E1108" s="8" t="s">
        <v>3743</v>
      </c>
      <c r="F1108" s="8" t="s">
        <v>782</v>
      </c>
      <c r="G1108" s="8" t="s">
        <v>783</v>
      </c>
      <c r="H1108" s="8" t="s">
        <v>784</v>
      </c>
    </row>
    <row r="1109" customFormat="false" ht="15" hidden="false" customHeight="false" outlineLevel="0" collapsed="false">
      <c r="A1109" s="8" t="s">
        <v>3744</v>
      </c>
      <c r="B1109" s="8" t="s">
        <v>3745</v>
      </c>
      <c r="C1109" s="8" t="n">
        <v>2019</v>
      </c>
      <c r="D1109" s="8" t="s">
        <v>58</v>
      </c>
      <c r="E1109" s="8" t="s">
        <v>3746</v>
      </c>
      <c r="F1109" s="8" t="s">
        <v>782</v>
      </c>
      <c r="G1109" s="8" t="s">
        <v>783</v>
      </c>
      <c r="H1109" s="8" t="s">
        <v>861</v>
      </c>
    </row>
    <row r="1110" customFormat="false" ht="15" hidden="false" customHeight="false" outlineLevel="0" collapsed="false">
      <c r="A1110" s="8" t="s">
        <v>3747</v>
      </c>
      <c r="B1110" s="8" t="s">
        <v>3748</v>
      </c>
      <c r="C1110" s="8" t="n">
        <v>2013</v>
      </c>
      <c r="D1110" s="8" t="s">
        <v>83</v>
      </c>
      <c r="E1110" s="8"/>
      <c r="F1110" s="8" t="s">
        <v>782</v>
      </c>
      <c r="G1110" s="8" t="s">
        <v>801</v>
      </c>
      <c r="H1110" s="8" t="s">
        <v>802</v>
      </c>
    </row>
    <row r="1111" customFormat="false" ht="15" hidden="false" customHeight="false" outlineLevel="0" collapsed="false">
      <c r="A1111" s="8" t="s">
        <v>3749</v>
      </c>
      <c r="B1111" s="8" t="s">
        <v>3750</v>
      </c>
      <c r="C1111" s="8" t="n">
        <v>2013</v>
      </c>
      <c r="D1111" s="8" t="s">
        <v>58</v>
      </c>
      <c r="E1111" s="8"/>
      <c r="F1111" s="8" t="s">
        <v>782</v>
      </c>
      <c r="G1111" s="8" t="s">
        <v>783</v>
      </c>
      <c r="H1111" s="8" t="s">
        <v>784</v>
      </c>
    </row>
    <row r="1112" customFormat="false" ht="15" hidden="false" customHeight="false" outlineLevel="0" collapsed="false">
      <c r="A1112" s="8" t="s">
        <v>3751</v>
      </c>
      <c r="B1112" s="8" t="s">
        <v>3752</v>
      </c>
      <c r="C1112" s="8" t="n">
        <v>2018</v>
      </c>
      <c r="D1112" s="8" t="s">
        <v>58</v>
      </c>
      <c r="E1112" s="8" t="s">
        <v>3753</v>
      </c>
      <c r="F1112" s="8" t="s">
        <v>782</v>
      </c>
      <c r="G1112" s="8" t="s">
        <v>783</v>
      </c>
      <c r="H1112" s="8" t="s">
        <v>784</v>
      </c>
    </row>
    <row r="1113" customFormat="false" ht="15" hidden="false" customHeight="false" outlineLevel="0" collapsed="false">
      <c r="A1113" s="8" t="s">
        <v>3754</v>
      </c>
      <c r="B1113" s="8" t="s">
        <v>3755</v>
      </c>
      <c r="C1113" s="8" t="n">
        <v>2017</v>
      </c>
      <c r="D1113" s="8" t="s">
        <v>58</v>
      </c>
      <c r="E1113" s="8" t="s">
        <v>3756</v>
      </c>
      <c r="F1113" s="8" t="s">
        <v>782</v>
      </c>
      <c r="G1113" s="8" t="s">
        <v>783</v>
      </c>
      <c r="H1113" s="8" t="s">
        <v>784</v>
      </c>
    </row>
    <row r="1114" customFormat="false" ht="15" hidden="false" customHeight="false" outlineLevel="0" collapsed="false">
      <c r="A1114" s="8" t="s">
        <v>3757</v>
      </c>
      <c r="B1114" s="8" t="s">
        <v>3758</v>
      </c>
      <c r="C1114" s="8" t="n">
        <v>2016</v>
      </c>
      <c r="D1114" s="8" t="s">
        <v>58</v>
      </c>
      <c r="E1114" s="8" t="s">
        <v>3759</v>
      </c>
      <c r="F1114" s="8" t="s">
        <v>782</v>
      </c>
      <c r="G1114" s="8" t="s">
        <v>783</v>
      </c>
      <c r="H1114" s="8" t="s">
        <v>784</v>
      </c>
    </row>
    <row r="1115" customFormat="false" ht="15" hidden="false" customHeight="false" outlineLevel="0" collapsed="false">
      <c r="A1115" s="8" t="s">
        <v>3760</v>
      </c>
      <c r="B1115" s="8" t="s">
        <v>3761</v>
      </c>
      <c r="C1115" s="8" t="n">
        <v>2012</v>
      </c>
      <c r="D1115" s="8" t="s">
        <v>58</v>
      </c>
      <c r="E1115" s="8" t="s">
        <v>3762</v>
      </c>
      <c r="F1115" s="8" t="s">
        <v>782</v>
      </c>
      <c r="G1115" s="8" t="s">
        <v>783</v>
      </c>
      <c r="H1115" s="8" t="s">
        <v>784</v>
      </c>
    </row>
    <row r="1116" customFormat="false" ht="15" hidden="false" customHeight="false" outlineLevel="0" collapsed="false">
      <c r="A1116" s="8" t="s">
        <v>3763</v>
      </c>
      <c r="B1116" s="8" t="s">
        <v>3764</v>
      </c>
      <c r="C1116" s="8" t="n">
        <v>2015</v>
      </c>
      <c r="D1116" s="8" t="s">
        <v>58</v>
      </c>
      <c r="E1116" s="8" t="s">
        <v>3765</v>
      </c>
      <c r="F1116" s="8" t="s">
        <v>782</v>
      </c>
      <c r="G1116" s="8" t="s">
        <v>783</v>
      </c>
      <c r="H1116" s="8" t="s">
        <v>784</v>
      </c>
    </row>
    <row r="1117" customFormat="false" ht="15" hidden="false" customHeight="false" outlineLevel="0" collapsed="false">
      <c r="A1117" s="8" t="s">
        <v>3766</v>
      </c>
      <c r="B1117" s="8" t="s">
        <v>3767</v>
      </c>
      <c r="C1117" s="8" t="n">
        <v>2010</v>
      </c>
      <c r="D1117" s="8" t="s">
        <v>58</v>
      </c>
      <c r="E1117" s="8" t="s">
        <v>3768</v>
      </c>
      <c r="F1117" s="8" t="s">
        <v>782</v>
      </c>
      <c r="G1117" s="8" t="s">
        <v>783</v>
      </c>
      <c r="H1117" s="8" t="s">
        <v>861</v>
      </c>
    </row>
    <row r="1118" customFormat="false" ht="15" hidden="false" customHeight="false" outlineLevel="0" collapsed="false">
      <c r="A1118" s="8" t="s">
        <v>3769</v>
      </c>
      <c r="B1118" s="8" t="s">
        <v>3770</v>
      </c>
      <c r="C1118" s="8" t="n">
        <v>2018</v>
      </c>
      <c r="D1118" s="8" t="s">
        <v>58</v>
      </c>
      <c r="E1118" s="8" t="s">
        <v>3771</v>
      </c>
      <c r="F1118" s="8" t="s">
        <v>782</v>
      </c>
      <c r="G1118" s="8" t="s">
        <v>783</v>
      </c>
      <c r="H1118" s="8" t="s">
        <v>784</v>
      </c>
    </row>
    <row r="1119" customFormat="false" ht="15" hidden="false" customHeight="false" outlineLevel="0" collapsed="false">
      <c r="A1119" s="8" t="s">
        <v>3772</v>
      </c>
      <c r="B1119" s="8" t="s">
        <v>3773</v>
      </c>
      <c r="C1119" s="8" t="n">
        <v>2016</v>
      </c>
      <c r="D1119" s="8" t="s">
        <v>58</v>
      </c>
      <c r="E1119" s="8"/>
      <c r="F1119" s="8" t="s">
        <v>782</v>
      </c>
      <c r="G1119" s="8" t="s">
        <v>783</v>
      </c>
      <c r="H1119" s="8" t="s">
        <v>784</v>
      </c>
    </row>
    <row r="1120" customFormat="false" ht="15" hidden="false" customHeight="false" outlineLevel="0" collapsed="false">
      <c r="A1120" s="8" t="s">
        <v>3774</v>
      </c>
      <c r="B1120" s="8" t="s">
        <v>3775</v>
      </c>
      <c r="C1120" s="8" t="n">
        <v>2018</v>
      </c>
      <c r="D1120" s="8" t="s">
        <v>58</v>
      </c>
      <c r="E1120" s="8"/>
      <c r="F1120" s="8" t="s">
        <v>782</v>
      </c>
      <c r="G1120" s="8" t="s">
        <v>783</v>
      </c>
      <c r="H1120" s="8" t="s">
        <v>861</v>
      </c>
    </row>
    <row r="1121" customFormat="false" ht="15" hidden="false" customHeight="false" outlineLevel="0" collapsed="false">
      <c r="A1121" s="8" t="s">
        <v>3776</v>
      </c>
      <c r="B1121" s="8" t="s">
        <v>3777</v>
      </c>
      <c r="C1121" s="8" t="n">
        <v>2010</v>
      </c>
      <c r="D1121" s="8" t="s">
        <v>83</v>
      </c>
      <c r="E1121" s="8" t="s">
        <v>3778</v>
      </c>
      <c r="F1121" s="8" t="s">
        <v>782</v>
      </c>
      <c r="G1121" s="8" t="s">
        <v>783</v>
      </c>
      <c r="H1121" s="8" t="s">
        <v>784</v>
      </c>
    </row>
    <row r="1122" customFormat="false" ht="15" hidden="false" customHeight="false" outlineLevel="0" collapsed="false">
      <c r="A1122" s="8" t="s">
        <v>3779</v>
      </c>
      <c r="B1122" s="8" t="s">
        <v>3780</v>
      </c>
      <c r="C1122" s="8" t="n">
        <v>2010</v>
      </c>
      <c r="D1122" s="8" t="s">
        <v>83</v>
      </c>
      <c r="E1122" s="8" t="s">
        <v>3781</v>
      </c>
      <c r="F1122" s="8" t="s">
        <v>782</v>
      </c>
      <c r="G1122" s="8" t="s">
        <v>783</v>
      </c>
      <c r="H1122" s="8" t="s">
        <v>784</v>
      </c>
    </row>
    <row r="1123" customFormat="false" ht="15" hidden="false" customHeight="false" outlineLevel="0" collapsed="false">
      <c r="A1123" s="8" t="s">
        <v>3782</v>
      </c>
      <c r="B1123" s="8" t="s">
        <v>3783</v>
      </c>
      <c r="C1123" s="8" t="n">
        <v>2010</v>
      </c>
      <c r="D1123" s="8" t="s">
        <v>58</v>
      </c>
      <c r="E1123" s="8" t="s">
        <v>3784</v>
      </c>
      <c r="F1123" s="8" t="s">
        <v>782</v>
      </c>
      <c r="G1123" s="8" t="s">
        <v>783</v>
      </c>
      <c r="H1123" s="8" t="s">
        <v>861</v>
      </c>
    </row>
    <row r="1124" customFormat="false" ht="15" hidden="false" customHeight="false" outlineLevel="0" collapsed="false">
      <c r="A1124" s="8" t="s">
        <v>3785</v>
      </c>
      <c r="B1124" s="8" t="s">
        <v>3786</v>
      </c>
      <c r="C1124" s="8" t="n">
        <v>2013</v>
      </c>
      <c r="D1124" s="8" t="s">
        <v>58</v>
      </c>
      <c r="E1124" s="8" t="s">
        <v>3787</v>
      </c>
      <c r="F1124" s="8" t="s">
        <v>782</v>
      </c>
      <c r="G1124" s="8" t="s">
        <v>783</v>
      </c>
      <c r="H1124" s="8" t="s">
        <v>784</v>
      </c>
    </row>
    <row r="1125" customFormat="false" ht="15" hidden="false" customHeight="false" outlineLevel="0" collapsed="false">
      <c r="A1125" s="8" t="s">
        <v>3788</v>
      </c>
      <c r="B1125" s="8" t="s">
        <v>3789</v>
      </c>
      <c r="C1125" s="8" t="n">
        <v>2017</v>
      </c>
      <c r="D1125" s="8" t="s">
        <v>90</v>
      </c>
      <c r="E1125" s="8" t="s">
        <v>3790</v>
      </c>
      <c r="F1125" s="8" t="s">
        <v>782</v>
      </c>
      <c r="G1125" s="8" t="s">
        <v>783</v>
      </c>
      <c r="H1125" s="8" t="s">
        <v>784</v>
      </c>
    </row>
    <row r="1126" customFormat="false" ht="15" hidden="false" customHeight="false" outlineLevel="0" collapsed="false">
      <c r="A1126" s="8" t="s">
        <v>3791</v>
      </c>
      <c r="B1126" s="8" t="s">
        <v>3792</v>
      </c>
      <c r="C1126" s="8" t="n">
        <v>2011</v>
      </c>
      <c r="D1126" s="8" t="s">
        <v>58</v>
      </c>
      <c r="E1126" s="8" t="s">
        <v>3793</v>
      </c>
      <c r="F1126" s="8" t="s">
        <v>782</v>
      </c>
      <c r="G1126" s="8" t="s">
        <v>801</v>
      </c>
      <c r="H1126" s="8" t="s">
        <v>915</v>
      </c>
    </row>
    <row r="1127" customFormat="false" ht="15" hidden="false" customHeight="false" outlineLevel="0" collapsed="false">
      <c r="A1127" s="8" t="s">
        <v>3794</v>
      </c>
      <c r="B1127" s="8" t="s">
        <v>3795</v>
      </c>
      <c r="C1127" s="8" t="n">
        <v>2017</v>
      </c>
      <c r="D1127" s="8" t="s">
        <v>58</v>
      </c>
      <c r="E1127" s="8" t="s">
        <v>3796</v>
      </c>
      <c r="F1127" s="8" t="s">
        <v>782</v>
      </c>
      <c r="G1127" s="8" t="s">
        <v>895</v>
      </c>
      <c r="H1127" s="8" t="s">
        <v>896</v>
      </c>
    </row>
    <row r="1128" customFormat="false" ht="15" hidden="false" customHeight="false" outlineLevel="0" collapsed="false">
      <c r="A1128" s="8" t="s">
        <v>3797</v>
      </c>
      <c r="B1128" s="8" t="s">
        <v>3798</v>
      </c>
      <c r="C1128" s="8" t="n">
        <v>2018</v>
      </c>
      <c r="D1128" s="8" t="s">
        <v>58</v>
      </c>
      <c r="E1128" s="8" t="s">
        <v>3799</v>
      </c>
      <c r="F1128" s="8" t="s">
        <v>782</v>
      </c>
      <c r="G1128" s="8" t="s">
        <v>895</v>
      </c>
      <c r="H1128" s="8" t="s">
        <v>896</v>
      </c>
    </row>
    <row r="1129" customFormat="false" ht="15" hidden="false" customHeight="false" outlineLevel="0" collapsed="false">
      <c r="A1129" s="8" t="s">
        <v>3800</v>
      </c>
      <c r="B1129" s="8" t="s">
        <v>3801</v>
      </c>
      <c r="C1129" s="8" t="n">
        <v>2014</v>
      </c>
      <c r="D1129" s="8" t="s">
        <v>58</v>
      </c>
      <c r="E1129" s="8" t="s">
        <v>3802</v>
      </c>
      <c r="F1129" s="8" t="s">
        <v>782</v>
      </c>
      <c r="G1129" s="8" t="s">
        <v>783</v>
      </c>
      <c r="H1129" s="8" t="s">
        <v>784</v>
      </c>
    </row>
    <row r="1130" customFormat="false" ht="15" hidden="false" customHeight="false" outlineLevel="0" collapsed="false">
      <c r="A1130" s="8" t="s">
        <v>3803</v>
      </c>
      <c r="B1130" s="8" t="s">
        <v>3804</v>
      </c>
      <c r="C1130" s="8" t="n">
        <v>2011</v>
      </c>
      <c r="D1130" s="8" t="s">
        <v>83</v>
      </c>
      <c r="E1130" s="8"/>
      <c r="F1130" s="8" t="s">
        <v>782</v>
      </c>
      <c r="G1130" s="8" t="s">
        <v>801</v>
      </c>
      <c r="H1130" s="8" t="s">
        <v>915</v>
      </c>
    </row>
    <row r="1131" customFormat="false" ht="15" hidden="false" customHeight="false" outlineLevel="0" collapsed="false">
      <c r="A1131" s="8" t="s">
        <v>3805</v>
      </c>
      <c r="B1131" s="8" t="s">
        <v>3806</v>
      </c>
      <c r="C1131" s="8" t="n">
        <v>2016</v>
      </c>
      <c r="D1131" s="8" t="s">
        <v>58</v>
      </c>
      <c r="E1131" s="8" t="s">
        <v>3807</v>
      </c>
      <c r="F1131" s="8" t="s">
        <v>782</v>
      </c>
      <c r="G1131" s="8" t="s">
        <v>783</v>
      </c>
      <c r="H1131" s="8" t="s">
        <v>784</v>
      </c>
    </row>
    <row r="1132" customFormat="false" ht="15" hidden="false" customHeight="false" outlineLevel="0" collapsed="false">
      <c r="A1132" s="8" t="s">
        <v>3808</v>
      </c>
      <c r="B1132" s="8" t="s">
        <v>3809</v>
      </c>
      <c r="C1132" s="8" t="n">
        <v>2010</v>
      </c>
      <c r="D1132" s="8" t="s">
        <v>58</v>
      </c>
      <c r="E1132" s="8"/>
      <c r="F1132" s="8" t="s">
        <v>782</v>
      </c>
      <c r="G1132" s="8" t="s">
        <v>801</v>
      </c>
      <c r="H1132" s="8" t="s">
        <v>802</v>
      </c>
    </row>
    <row r="1133" customFormat="false" ht="15" hidden="false" customHeight="false" outlineLevel="0" collapsed="false">
      <c r="A1133" s="8" t="s">
        <v>3810</v>
      </c>
      <c r="B1133" s="8" t="s">
        <v>3811</v>
      </c>
      <c r="C1133" s="8" t="n">
        <v>2014</v>
      </c>
      <c r="D1133" s="8" t="s">
        <v>58</v>
      </c>
      <c r="E1133" s="8"/>
      <c r="F1133" s="8" t="s">
        <v>782</v>
      </c>
      <c r="G1133" s="8" t="s">
        <v>783</v>
      </c>
      <c r="H1133" s="8" t="s">
        <v>784</v>
      </c>
    </row>
    <row r="1134" customFormat="false" ht="15" hidden="false" customHeight="false" outlineLevel="0" collapsed="false">
      <c r="A1134" s="8" t="s">
        <v>3812</v>
      </c>
      <c r="B1134" s="8" t="s">
        <v>3813</v>
      </c>
      <c r="C1134" s="8" t="n">
        <v>2011</v>
      </c>
      <c r="D1134" s="8" t="s">
        <v>58</v>
      </c>
      <c r="E1134" s="8" t="s">
        <v>3814</v>
      </c>
      <c r="F1134" s="8" t="s">
        <v>782</v>
      </c>
      <c r="G1134" s="8" t="s">
        <v>788</v>
      </c>
      <c r="H1134" s="8" t="s">
        <v>789</v>
      </c>
    </row>
    <row r="1135" customFormat="false" ht="15" hidden="false" customHeight="false" outlineLevel="0" collapsed="false">
      <c r="A1135" s="8" t="s">
        <v>3815</v>
      </c>
      <c r="B1135" s="8" t="s">
        <v>3816</v>
      </c>
      <c r="C1135" s="8" t="n">
        <v>2010</v>
      </c>
      <c r="D1135" s="8" t="s">
        <v>83</v>
      </c>
      <c r="E1135" s="8" t="s">
        <v>3817</v>
      </c>
      <c r="F1135" s="8" t="s">
        <v>782</v>
      </c>
      <c r="G1135" s="8" t="s">
        <v>801</v>
      </c>
      <c r="H1135" s="8" t="s">
        <v>915</v>
      </c>
    </row>
    <row r="1136" customFormat="false" ht="15" hidden="false" customHeight="false" outlineLevel="0" collapsed="false">
      <c r="A1136" s="8" t="s">
        <v>3818</v>
      </c>
      <c r="B1136" s="8" t="s">
        <v>3819</v>
      </c>
      <c r="C1136" s="8" t="n">
        <v>2014</v>
      </c>
      <c r="D1136" s="8" t="s">
        <v>58</v>
      </c>
      <c r="E1136" s="8" t="s">
        <v>3820</v>
      </c>
      <c r="F1136" s="8" t="s">
        <v>782</v>
      </c>
      <c r="G1136" s="8" t="s">
        <v>783</v>
      </c>
      <c r="H1136" s="8" t="s">
        <v>861</v>
      </c>
    </row>
    <row r="1137" customFormat="false" ht="15" hidden="false" customHeight="false" outlineLevel="0" collapsed="false">
      <c r="A1137" s="8" t="s">
        <v>3821</v>
      </c>
      <c r="B1137" s="8" t="s">
        <v>3822</v>
      </c>
      <c r="C1137" s="8" t="n">
        <v>2013</v>
      </c>
      <c r="D1137" s="8" t="s">
        <v>83</v>
      </c>
      <c r="E1137" s="8" t="s">
        <v>3823</v>
      </c>
      <c r="F1137" s="8" t="s">
        <v>782</v>
      </c>
      <c r="G1137" s="8" t="s">
        <v>783</v>
      </c>
      <c r="H1137" s="8" t="s">
        <v>784</v>
      </c>
    </row>
    <row r="1138" customFormat="false" ht="15" hidden="false" customHeight="false" outlineLevel="0" collapsed="false">
      <c r="A1138" s="8" t="s">
        <v>3824</v>
      </c>
      <c r="B1138" s="8" t="s">
        <v>3825</v>
      </c>
      <c r="C1138" s="8" t="n">
        <v>2011</v>
      </c>
      <c r="D1138" s="8" t="s">
        <v>58</v>
      </c>
      <c r="E1138" s="8" t="s">
        <v>3826</v>
      </c>
      <c r="F1138" s="8" t="s">
        <v>782</v>
      </c>
      <c r="G1138" s="8" t="s">
        <v>783</v>
      </c>
      <c r="H1138" s="8" t="s">
        <v>784</v>
      </c>
    </row>
    <row r="1139" customFormat="false" ht="15" hidden="false" customHeight="false" outlineLevel="0" collapsed="false">
      <c r="A1139" s="8" t="s">
        <v>747</v>
      </c>
      <c r="B1139" s="8" t="s">
        <v>749</v>
      </c>
      <c r="C1139" s="8" t="n">
        <v>2012</v>
      </c>
      <c r="D1139" s="8" t="s">
        <v>58</v>
      </c>
      <c r="E1139" s="8"/>
      <c r="F1139" s="8" t="s">
        <v>852</v>
      </c>
      <c r="G1139" s="8" t="s">
        <v>853</v>
      </c>
      <c r="H1139" s="8" t="s">
        <v>854</v>
      </c>
    </row>
    <row r="1140" customFormat="false" ht="15" hidden="false" customHeight="false" outlineLevel="0" collapsed="false">
      <c r="A1140" s="8" t="s">
        <v>3827</v>
      </c>
      <c r="B1140" s="8" t="s">
        <v>3828</v>
      </c>
      <c r="C1140" s="8" t="n">
        <v>2014</v>
      </c>
      <c r="D1140" s="8" t="s">
        <v>58</v>
      </c>
      <c r="E1140" s="8" t="s">
        <v>3829</v>
      </c>
      <c r="F1140" s="8" t="s">
        <v>782</v>
      </c>
      <c r="G1140" s="8" t="s">
        <v>783</v>
      </c>
      <c r="H1140" s="8" t="s">
        <v>784</v>
      </c>
    </row>
    <row r="1141" customFormat="false" ht="15" hidden="false" customHeight="false" outlineLevel="0" collapsed="false">
      <c r="A1141" s="8" t="s">
        <v>3830</v>
      </c>
      <c r="B1141" s="8" t="s">
        <v>3831</v>
      </c>
      <c r="C1141" s="8" t="n">
        <v>2018</v>
      </c>
      <c r="D1141" s="8" t="s">
        <v>58</v>
      </c>
      <c r="E1141" s="8" t="s">
        <v>3832</v>
      </c>
      <c r="F1141" s="8" t="s">
        <v>782</v>
      </c>
      <c r="G1141" s="8" t="s">
        <v>783</v>
      </c>
      <c r="H1141" s="8" t="s">
        <v>784</v>
      </c>
    </row>
    <row r="1142" customFormat="false" ht="15" hidden="false" customHeight="false" outlineLevel="0" collapsed="false">
      <c r="A1142" s="8" t="s">
        <v>3833</v>
      </c>
      <c r="B1142" s="8" t="s">
        <v>3834</v>
      </c>
      <c r="C1142" s="8" t="n">
        <v>2017</v>
      </c>
      <c r="D1142" s="8" t="s">
        <v>90</v>
      </c>
      <c r="E1142" s="8" t="s">
        <v>3835</v>
      </c>
      <c r="F1142" s="8" t="s">
        <v>782</v>
      </c>
      <c r="G1142" s="8" t="s">
        <v>783</v>
      </c>
      <c r="H1142" s="8" t="s">
        <v>784</v>
      </c>
    </row>
    <row r="1143" customFormat="false" ht="15" hidden="false" customHeight="false" outlineLevel="0" collapsed="false">
      <c r="A1143" s="8" t="s">
        <v>3836</v>
      </c>
      <c r="B1143" s="8" t="s">
        <v>3837</v>
      </c>
      <c r="C1143" s="8" t="n">
        <v>2017</v>
      </c>
      <c r="D1143" s="8" t="s">
        <v>58</v>
      </c>
      <c r="E1143" s="8" t="s">
        <v>3838</v>
      </c>
      <c r="F1143" s="8" t="s">
        <v>782</v>
      </c>
      <c r="G1143" s="8" t="s">
        <v>966</v>
      </c>
      <c r="H1143" s="8" t="s">
        <v>967</v>
      </c>
    </row>
    <row r="1144" customFormat="false" ht="15" hidden="false" customHeight="false" outlineLevel="0" collapsed="false">
      <c r="A1144" s="8" t="s">
        <v>3839</v>
      </c>
      <c r="B1144" s="8" t="s">
        <v>3840</v>
      </c>
      <c r="C1144" s="8" t="n">
        <v>2013</v>
      </c>
      <c r="D1144" s="8" t="s">
        <v>58</v>
      </c>
      <c r="E1144" s="8" t="s">
        <v>3841</v>
      </c>
      <c r="F1144" s="8" t="s">
        <v>782</v>
      </c>
      <c r="G1144" s="8" t="s">
        <v>783</v>
      </c>
      <c r="H1144" s="8" t="s">
        <v>784</v>
      </c>
    </row>
    <row r="1145" customFormat="false" ht="15" hidden="false" customHeight="false" outlineLevel="0" collapsed="false">
      <c r="A1145" s="8" t="s">
        <v>3842</v>
      </c>
      <c r="B1145" s="8" t="s">
        <v>3843</v>
      </c>
      <c r="C1145" s="8" t="n">
        <v>2015</v>
      </c>
      <c r="D1145" s="8" t="s">
        <v>58</v>
      </c>
      <c r="E1145" s="8" t="s">
        <v>3844</v>
      </c>
      <c r="F1145" s="8" t="s">
        <v>782</v>
      </c>
      <c r="G1145" s="8" t="s">
        <v>783</v>
      </c>
      <c r="H1145" s="8" t="s">
        <v>784</v>
      </c>
    </row>
    <row r="1146" customFormat="false" ht="15" hidden="false" customHeight="false" outlineLevel="0" collapsed="false">
      <c r="A1146" s="8" t="s">
        <v>3845</v>
      </c>
      <c r="B1146" s="8" t="s">
        <v>3846</v>
      </c>
      <c r="C1146" s="8" t="n">
        <v>2011</v>
      </c>
      <c r="D1146" s="8" t="s">
        <v>90</v>
      </c>
      <c r="E1146" s="8" t="s">
        <v>3847</v>
      </c>
      <c r="F1146" s="8" t="s">
        <v>782</v>
      </c>
      <c r="G1146" s="8" t="s">
        <v>783</v>
      </c>
      <c r="H1146" s="8" t="s">
        <v>784</v>
      </c>
    </row>
    <row r="1147" customFormat="false" ht="15" hidden="false" customHeight="false" outlineLevel="0" collapsed="false">
      <c r="A1147" s="8" t="s">
        <v>3848</v>
      </c>
      <c r="B1147" s="8" t="s">
        <v>3849</v>
      </c>
      <c r="C1147" s="8" t="n">
        <v>2013</v>
      </c>
      <c r="D1147" s="8" t="s">
        <v>83</v>
      </c>
      <c r="E1147" s="8" t="s">
        <v>3850</v>
      </c>
      <c r="F1147" s="8" t="s">
        <v>782</v>
      </c>
      <c r="G1147" s="8" t="s">
        <v>783</v>
      </c>
      <c r="H1147" s="8" t="s">
        <v>784</v>
      </c>
    </row>
    <row r="1148" customFormat="false" ht="15" hidden="false" customHeight="false" outlineLevel="0" collapsed="false">
      <c r="A1148" s="8" t="s">
        <v>764</v>
      </c>
      <c r="B1148" s="8" t="s">
        <v>766</v>
      </c>
      <c r="C1148" s="8" t="n">
        <v>2010</v>
      </c>
      <c r="D1148" s="8" t="s">
        <v>58</v>
      </c>
      <c r="E1148" s="8" t="s">
        <v>768</v>
      </c>
      <c r="F1148" s="8" t="s">
        <v>852</v>
      </c>
      <c r="G1148" s="8" t="s">
        <v>853</v>
      </c>
      <c r="H1148" s="8" t="s">
        <v>854</v>
      </c>
    </row>
    <row r="1149" customFormat="false" ht="15" hidden="false" customHeight="false" outlineLevel="0" collapsed="false">
      <c r="A1149" s="8" t="s">
        <v>3851</v>
      </c>
      <c r="B1149" s="8" t="s">
        <v>3852</v>
      </c>
      <c r="C1149" s="8" t="n">
        <v>2011</v>
      </c>
      <c r="D1149" s="8" t="s">
        <v>58</v>
      </c>
      <c r="E1149" s="8" t="s">
        <v>3853</v>
      </c>
      <c r="F1149" s="8" t="s">
        <v>782</v>
      </c>
      <c r="G1149" s="8" t="s">
        <v>783</v>
      </c>
      <c r="H1149" s="8" t="s">
        <v>784</v>
      </c>
    </row>
    <row r="1150" customFormat="false" ht="15" hidden="false" customHeight="false" outlineLevel="0" collapsed="false">
      <c r="A1150" s="8" t="s">
        <v>3854</v>
      </c>
      <c r="B1150" s="8" t="s">
        <v>3855</v>
      </c>
      <c r="C1150" s="8" t="n">
        <v>2018</v>
      </c>
      <c r="D1150" s="8" t="s">
        <v>58</v>
      </c>
      <c r="E1150" s="8" t="s">
        <v>3856</v>
      </c>
      <c r="F1150" s="8" t="s">
        <v>782</v>
      </c>
      <c r="G1150" s="8" t="s">
        <v>783</v>
      </c>
      <c r="H1150" s="8" t="s">
        <v>784</v>
      </c>
    </row>
    <row r="1151" customFormat="false" ht="15" hidden="false" customHeight="false" outlineLevel="0" collapsed="false">
      <c r="A1151" s="8" t="s">
        <v>3857</v>
      </c>
      <c r="B1151" s="8" t="s">
        <v>3858</v>
      </c>
      <c r="C1151" s="8" t="n">
        <v>2011</v>
      </c>
      <c r="D1151" s="8" t="s">
        <v>58</v>
      </c>
      <c r="E1151" s="8" t="s">
        <v>3859</v>
      </c>
      <c r="F1151" s="8" t="s">
        <v>782</v>
      </c>
      <c r="G1151" s="8" t="s">
        <v>783</v>
      </c>
      <c r="H1151" s="8" t="s">
        <v>784</v>
      </c>
    </row>
    <row r="1152" customFormat="false" ht="15" hidden="false" customHeight="false" outlineLevel="0" collapsed="false">
      <c r="A1152" s="8" t="s">
        <v>3860</v>
      </c>
      <c r="B1152" s="8" t="s">
        <v>3861</v>
      </c>
      <c r="C1152" s="8" t="n">
        <v>2015</v>
      </c>
      <c r="D1152" s="8" t="s">
        <v>58</v>
      </c>
      <c r="E1152" s="8"/>
      <c r="F1152" s="8" t="s">
        <v>782</v>
      </c>
      <c r="G1152" s="8" t="s">
        <v>783</v>
      </c>
      <c r="H1152" s="8" t="s">
        <v>784</v>
      </c>
    </row>
    <row r="1153" customFormat="false" ht="15" hidden="false" customHeight="false" outlineLevel="0" collapsed="false">
      <c r="A1153" s="8" t="s">
        <v>3862</v>
      </c>
      <c r="B1153" s="8" t="s">
        <v>3863</v>
      </c>
      <c r="C1153" s="8" t="n">
        <v>2013</v>
      </c>
      <c r="D1153" s="8" t="s">
        <v>83</v>
      </c>
      <c r="E1153" s="8" t="s">
        <v>3864</v>
      </c>
      <c r="F1153" s="8" t="s">
        <v>782</v>
      </c>
      <c r="G1153" s="8" t="s">
        <v>783</v>
      </c>
      <c r="H1153" s="8" t="s">
        <v>784</v>
      </c>
    </row>
    <row r="1154" customFormat="false" ht="15" hidden="false" customHeight="false" outlineLevel="0" collapsed="false">
      <c r="A1154" s="8" t="s">
        <v>3865</v>
      </c>
      <c r="B1154" s="8" t="s">
        <v>3866</v>
      </c>
      <c r="C1154" s="8" t="n">
        <v>2011</v>
      </c>
      <c r="D1154" s="8" t="s">
        <v>83</v>
      </c>
      <c r="E1154" s="8" t="s">
        <v>3867</v>
      </c>
      <c r="F1154" s="8" t="s">
        <v>782</v>
      </c>
      <c r="G1154" s="8" t="s">
        <v>801</v>
      </c>
      <c r="H1154" s="8" t="s">
        <v>915</v>
      </c>
    </row>
    <row r="1155" customFormat="false" ht="15" hidden="false" customHeight="false" outlineLevel="0" collapsed="false">
      <c r="A1155" s="8" t="s">
        <v>3868</v>
      </c>
      <c r="B1155" s="8" t="s">
        <v>3869</v>
      </c>
      <c r="C1155" s="8" t="n">
        <v>2018</v>
      </c>
      <c r="D1155" s="8" t="s">
        <v>58</v>
      </c>
      <c r="E1155" s="8" t="s">
        <v>3870</v>
      </c>
      <c r="F1155" s="8" t="s">
        <v>782</v>
      </c>
      <c r="G1155" s="8" t="s">
        <v>783</v>
      </c>
      <c r="H1155" s="8" t="s">
        <v>784</v>
      </c>
    </row>
    <row r="1156" customFormat="false" ht="15" hidden="false" customHeight="false" outlineLevel="0" collapsed="false">
      <c r="A1156" s="8" t="s">
        <v>3871</v>
      </c>
      <c r="B1156" s="8" t="s">
        <v>3872</v>
      </c>
      <c r="C1156" s="8" t="n">
        <v>2014</v>
      </c>
      <c r="D1156" s="8" t="s">
        <v>58</v>
      </c>
      <c r="E1156" s="8" t="s">
        <v>3873</v>
      </c>
      <c r="F1156" s="8" t="s">
        <v>782</v>
      </c>
      <c r="G1156" s="8" t="s">
        <v>783</v>
      </c>
      <c r="H1156" s="8" t="s">
        <v>784</v>
      </c>
    </row>
    <row r="1157" customFormat="false" ht="15" hidden="false" customHeight="false" outlineLevel="0" collapsed="false">
      <c r="A1157" s="8" t="s">
        <v>3874</v>
      </c>
      <c r="B1157" s="8" t="s">
        <v>3875</v>
      </c>
      <c r="C1157" s="8" t="n">
        <v>2017</v>
      </c>
      <c r="D1157" s="8" t="s">
        <v>58</v>
      </c>
      <c r="E1157" s="8" t="s">
        <v>3876</v>
      </c>
      <c r="F1157" s="8" t="s">
        <v>782</v>
      </c>
      <c r="G1157" s="8" t="s">
        <v>783</v>
      </c>
      <c r="H1157" s="8" t="s">
        <v>784</v>
      </c>
    </row>
    <row r="1158" customFormat="false" ht="15" hidden="false" customHeight="false" outlineLevel="0" collapsed="false">
      <c r="A1158" s="8" t="s">
        <v>3877</v>
      </c>
      <c r="B1158" s="8" t="s">
        <v>3878</v>
      </c>
      <c r="C1158" s="8" t="n">
        <v>2010</v>
      </c>
      <c r="D1158" s="8" t="s">
        <v>58</v>
      </c>
      <c r="E1158" s="8" t="s">
        <v>3879</v>
      </c>
      <c r="F1158" s="8" t="s">
        <v>782</v>
      </c>
      <c r="G1158" s="8" t="s">
        <v>783</v>
      </c>
      <c r="H1158" s="8" t="s">
        <v>784</v>
      </c>
    </row>
    <row r="1159" customFormat="false" ht="15" hidden="false" customHeight="false" outlineLevel="0" collapsed="false">
      <c r="A1159" s="8" t="s">
        <v>3880</v>
      </c>
      <c r="B1159" s="8" t="s">
        <v>3881</v>
      </c>
      <c r="C1159" s="8" t="n">
        <v>2016</v>
      </c>
      <c r="D1159" s="8" t="s">
        <v>58</v>
      </c>
      <c r="E1159" s="8" t="s">
        <v>3882</v>
      </c>
      <c r="F1159" s="8" t="s">
        <v>782</v>
      </c>
      <c r="G1159" s="8" t="s">
        <v>783</v>
      </c>
      <c r="H1159" s="8" t="s">
        <v>784</v>
      </c>
    </row>
    <row r="1160" customFormat="false" ht="15" hidden="false" customHeight="false" outlineLevel="0" collapsed="false">
      <c r="A1160" s="8" t="s">
        <v>3883</v>
      </c>
      <c r="B1160" s="8" t="s">
        <v>3884</v>
      </c>
      <c r="C1160" s="8" t="n">
        <v>2010</v>
      </c>
      <c r="D1160" s="8" t="s">
        <v>83</v>
      </c>
      <c r="E1160" s="8" t="s">
        <v>3885</v>
      </c>
      <c r="F1160" s="8" t="s">
        <v>782</v>
      </c>
      <c r="G1160" s="8" t="s">
        <v>801</v>
      </c>
      <c r="H1160" s="8" t="s">
        <v>915</v>
      </c>
    </row>
    <row r="1161" customFormat="false" ht="15" hidden="false" customHeight="false" outlineLevel="0" collapsed="false">
      <c r="A1161" s="8" t="s">
        <v>628</v>
      </c>
      <c r="B1161" s="8" t="s">
        <v>630</v>
      </c>
      <c r="C1161" s="8" t="n">
        <v>2018</v>
      </c>
      <c r="D1161" s="8" t="s">
        <v>83</v>
      </c>
      <c r="E1161" s="8" t="s">
        <v>632</v>
      </c>
      <c r="F1161" s="8" t="s">
        <v>852</v>
      </c>
      <c r="G1161" s="8" t="s">
        <v>853</v>
      </c>
      <c r="H1161" s="8" t="s">
        <v>854</v>
      </c>
    </row>
    <row r="1162" customFormat="false" ht="15" hidden="false" customHeight="false" outlineLevel="0" collapsed="false">
      <c r="A1162" s="8" t="s">
        <v>3886</v>
      </c>
      <c r="B1162" s="8" t="s">
        <v>3887</v>
      </c>
      <c r="C1162" s="8" t="n">
        <v>2011</v>
      </c>
      <c r="D1162" s="8" t="s">
        <v>58</v>
      </c>
      <c r="E1162" s="8" t="s">
        <v>3888</v>
      </c>
      <c r="F1162" s="8" t="s">
        <v>782</v>
      </c>
      <c r="G1162" s="8" t="s">
        <v>801</v>
      </c>
      <c r="H1162" s="8" t="s">
        <v>915</v>
      </c>
    </row>
    <row r="1163" customFormat="false" ht="15" hidden="false" customHeight="false" outlineLevel="0" collapsed="false">
      <c r="A1163" s="8" t="s">
        <v>3889</v>
      </c>
      <c r="B1163" s="8" t="s">
        <v>3890</v>
      </c>
      <c r="C1163" s="8" t="n">
        <v>2014</v>
      </c>
      <c r="D1163" s="8" t="s">
        <v>58</v>
      </c>
      <c r="E1163" s="8" t="s">
        <v>3891</v>
      </c>
      <c r="F1163" s="8" t="s">
        <v>782</v>
      </c>
      <c r="G1163" s="8" t="s">
        <v>783</v>
      </c>
      <c r="H1163" s="8" t="s">
        <v>784</v>
      </c>
    </row>
    <row r="1164" customFormat="false" ht="15" hidden="false" customHeight="false" outlineLevel="0" collapsed="false">
      <c r="A1164" s="8" t="s">
        <v>3892</v>
      </c>
      <c r="B1164" s="8" t="s">
        <v>3893</v>
      </c>
      <c r="C1164" s="8" t="n">
        <v>2011</v>
      </c>
      <c r="D1164" s="8" t="s">
        <v>58</v>
      </c>
      <c r="E1164" s="8"/>
      <c r="F1164" s="8" t="s">
        <v>782</v>
      </c>
      <c r="G1164" s="8" t="s">
        <v>783</v>
      </c>
      <c r="H1164" s="8" t="s">
        <v>784</v>
      </c>
    </row>
    <row r="1165" customFormat="false" ht="15" hidden="false" customHeight="false" outlineLevel="0" collapsed="false">
      <c r="A1165" s="8" t="s">
        <v>3894</v>
      </c>
      <c r="B1165" s="8" t="s">
        <v>3895</v>
      </c>
      <c r="C1165" s="8" t="n">
        <v>2013</v>
      </c>
      <c r="D1165" s="8" t="s">
        <v>90</v>
      </c>
      <c r="E1165" s="8" t="s">
        <v>3896</v>
      </c>
      <c r="F1165" s="8" t="s">
        <v>782</v>
      </c>
      <c r="G1165" s="8" t="s">
        <v>783</v>
      </c>
      <c r="H1165" s="8" t="s">
        <v>784</v>
      </c>
    </row>
    <row r="1166" customFormat="false" ht="15" hidden="false" customHeight="false" outlineLevel="0" collapsed="false">
      <c r="A1166" s="8" t="s">
        <v>3897</v>
      </c>
      <c r="B1166" s="8" t="s">
        <v>3898</v>
      </c>
      <c r="C1166" s="8" t="n">
        <v>2018</v>
      </c>
      <c r="D1166" s="8" t="s">
        <v>83</v>
      </c>
      <c r="E1166" s="8" t="s">
        <v>3899</v>
      </c>
      <c r="F1166" s="8" t="s">
        <v>782</v>
      </c>
      <c r="G1166" s="8" t="s">
        <v>783</v>
      </c>
      <c r="H1166" s="8" t="s">
        <v>784</v>
      </c>
    </row>
    <row r="1167" customFormat="false" ht="15" hidden="false" customHeight="false" outlineLevel="0" collapsed="false">
      <c r="A1167" s="8" t="s">
        <v>3900</v>
      </c>
      <c r="B1167" s="8" t="s">
        <v>3901</v>
      </c>
      <c r="C1167" s="8" t="n">
        <v>2017</v>
      </c>
      <c r="D1167" s="8" t="s">
        <v>58</v>
      </c>
      <c r="E1167" s="8" t="s">
        <v>3902</v>
      </c>
      <c r="F1167" s="8" t="s">
        <v>782</v>
      </c>
      <c r="G1167" s="8" t="s">
        <v>783</v>
      </c>
      <c r="H1167" s="8" t="s">
        <v>784</v>
      </c>
    </row>
    <row r="1168" customFormat="false" ht="15" hidden="false" customHeight="false" outlineLevel="0" collapsed="false">
      <c r="A1168" s="8" t="s">
        <v>3903</v>
      </c>
      <c r="B1168" s="8" t="s">
        <v>3904</v>
      </c>
      <c r="C1168" s="8" t="n">
        <v>2014</v>
      </c>
      <c r="D1168" s="8" t="s">
        <v>58</v>
      </c>
      <c r="E1168" s="8" t="s">
        <v>3905</v>
      </c>
      <c r="F1168" s="8" t="s">
        <v>782</v>
      </c>
      <c r="G1168" s="8" t="s">
        <v>783</v>
      </c>
      <c r="H1168" s="8" t="s">
        <v>784</v>
      </c>
    </row>
    <row r="1169" customFormat="false" ht="15" hidden="false" customHeight="false" outlineLevel="0" collapsed="false">
      <c r="A1169" s="8" t="s">
        <v>3906</v>
      </c>
      <c r="B1169" s="8" t="s">
        <v>3907</v>
      </c>
      <c r="C1169" s="8" t="n">
        <v>2014</v>
      </c>
      <c r="D1169" s="8" t="s">
        <v>58</v>
      </c>
      <c r="E1169" s="8" t="s">
        <v>3908</v>
      </c>
      <c r="F1169" s="8" t="s">
        <v>782</v>
      </c>
      <c r="G1169" s="8" t="s">
        <v>783</v>
      </c>
      <c r="H1169" s="8" t="s">
        <v>784</v>
      </c>
    </row>
    <row r="1170" customFormat="false" ht="15" hidden="false" customHeight="false" outlineLevel="0" collapsed="false">
      <c r="A1170" s="8" t="s">
        <v>3909</v>
      </c>
      <c r="B1170" s="8" t="s">
        <v>3910</v>
      </c>
      <c r="C1170" s="8" t="n">
        <v>2018</v>
      </c>
      <c r="D1170" s="8" t="s">
        <v>58</v>
      </c>
      <c r="E1170" s="8" t="s">
        <v>3911</v>
      </c>
      <c r="F1170" s="8" t="s">
        <v>782</v>
      </c>
      <c r="G1170" s="8" t="s">
        <v>783</v>
      </c>
      <c r="H1170" s="8" t="s">
        <v>784</v>
      </c>
    </row>
    <row r="1171" customFormat="false" ht="15" hidden="false" customHeight="false" outlineLevel="0" collapsed="false">
      <c r="A1171" s="8" t="s">
        <v>3912</v>
      </c>
      <c r="B1171" s="8" t="s">
        <v>3913</v>
      </c>
      <c r="C1171" s="8" t="n">
        <v>2019</v>
      </c>
      <c r="D1171" s="8" t="s">
        <v>58</v>
      </c>
      <c r="E1171" s="8" t="s">
        <v>3914</v>
      </c>
      <c r="F1171" s="8" t="s">
        <v>782</v>
      </c>
      <c r="G1171" s="8" t="s">
        <v>801</v>
      </c>
      <c r="H1171" s="8" t="s">
        <v>915</v>
      </c>
    </row>
    <row r="1172" customFormat="false" ht="15" hidden="false" customHeight="false" outlineLevel="0" collapsed="false">
      <c r="A1172" s="8" t="s">
        <v>3915</v>
      </c>
      <c r="B1172" s="8" t="s">
        <v>3916</v>
      </c>
      <c r="C1172" s="8" t="n">
        <v>2011</v>
      </c>
      <c r="D1172" s="8" t="s">
        <v>58</v>
      </c>
      <c r="E1172" s="8" t="s">
        <v>3917</v>
      </c>
      <c r="F1172" s="8" t="s">
        <v>782</v>
      </c>
      <c r="G1172" s="8" t="s">
        <v>783</v>
      </c>
      <c r="H1172" s="8" t="s">
        <v>784</v>
      </c>
    </row>
    <row r="1173" customFormat="false" ht="15" hidden="false" customHeight="false" outlineLevel="0" collapsed="false">
      <c r="A1173" s="8" t="s">
        <v>3918</v>
      </c>
      <c r="B1173" s="8" t="s">
        <v>3919</v>
      </c>
      <c r="C1173" s="8" t="n">
        <v>2012</v>
      </c>
      <c r="D1173" s="8" t="s">
        <v>58</v>
      </c>
      <c r="E1173" s="8"/>
      <c r="F1173" s="8" t="s">
        <v>782</v>
      </c>
      <c r="G1173" s="8" t="s">
        <v>783</v>
      </c>
      <c r="H1173" s="8" t="s">
        <v>784</v>
      </c>
    </row>
    <row r="1174" customFormat="false" ht="15" hidden="false" customHeight="false" outlineLevel="0" collapsed="false">
      <c r="A1174" s="8" t="s">
        <v>706</v>
      </c>
      <c r="B1174" s="8" t="s">
        <v>708</v>
      </c>
      <c r="C1174" s="8" t="n">
        <v>2015</v>
      </c>
      <c r="D1174" s="8" t="s">
        <v>58</v>
      </c>
      <c r="E1174" s="8" t="s">
        <v>710</v>
      </c>
      <c r="F1174" s="8" t="s">
        <v>852</v>
      </c>
      <c r="G1174" s="8" t="s">
        <v>853</v>
      </c>
      <c r="H1174" s="8" t="s">
        <v>854</v>
      </c>
    </row>
    <row r="1175" customFormat="false" ht="15" hidden="false" customHeight="false" outlineLevel="0" collapsed="false">
      <c r="A1175" s="8" t="s">
        <v>3920</v>
      </c>
      <c r="B1175" s="8" t="s">
        <v>3921</v>
      </c>
      <c r="C1175" s="8" t="n">
        <v>2016</v>
      </c>
      <c r="D1175" s="8" t="s">
        <v>58</v>
      </c>
      <c r="E1175" s="8" t="s">
        <v>3922</v>
      </c>
      <c r="F1175" s="8" t="s">
        <v>782</v>
      </c>
      <c r="G1175" s="8" t="s">
        <v>783</v>
      </c>
      <c r="H1175" s="8" t="s">
        <v>784</v>
      </c>
    </row>
    <row r="1176" customFormat="false" ht="15" hidden="false" customHeight="false" outlineLevel="0" collapsed="false">
      <c r="A1176" s="8" t="s">
        <v>3923</v>
      </c>
      <c r="B1176" s="8" t="s">
        <v>3924</v>
      </c>
      <c r="C1176" s="8" t="n">
        <v>2012</v>
      </c>
      <c r="D1176" s="8" t="s">
        <v>83</v>
      </c>
      <c r="E1176" s="8" t="s">
        <v>3925</v>
      </c>
      <c r="F1176" s="8" t="s">
        <v>782</v>
      </c>
      <c r="G1176" s="8" t="s">
        <v>801</v>
      </c>
      <c r="H1176" s="8" t="s">
        <v>915</v>
      </c>
    </row>
    <row r="1177" customFormat="false" ht="15" hidden="false" customHeight="false" outlineLevel="0" collapsed="false">
      <c r="A1177" s="8" t="s">
        <v>3926</v>
      </c>
      <c r="B1177" s="8" t="s">
        <v>3927</v>
      </c>
      <c r="C1177" s="8" t="n">
        <v>2018</v>
      </c>
      <c r="D1177" s="8" t="s">
        <v>58</v>
      </c>
      <c r="E1177" s="8" t="s">
        <v>3928</v>
      </c>
      <c r="F1177" s="8" t="s">
        <v>782</v>
      </c>
      <c r="G1177" s="8" t="s">
        <v>783</v>
      </c>
      <c r="H1177" s="8" t="s">
        <v>784</v>
      </c>
    </row>
    <row r="1178" customFormat="false" ht="15" hidden="false" customHeight="false" outlineLevel="0" collapsed="false">
      <c r="A1178" s="8" t="s">
        <v>3929</v>
      </c>
      <c r="B1178" s="8" t="s">
        <v>3930</v>
      </c>
      <c r="C1178" s="8" t="n">
        <v>2018</v>
      </c>
      <c r="D1178" s="8" t="s">
        <v>58</v>
      </c>
      <c r="E1178" s="8" t="s">
        <v>3931</v>
      </c>
      <c r="F1178" s="8" t="s">
        <v>782</v>
      </c>
      <c r="G1178" s="8" t="s">
        <v>783</v>
      </c>
      <c r="H1178" s="8" t="s">
        <v>784</v>
      </c>
    </row>
    <row r="1179" customFormat="false" ht="15" hidden="false" customHeight="false" outlineLevel="0" collapsed="false">
      <c r="A1179" s="8" t="s">
        <v>3932</v>
      </c>
      <c r="B1179" s="8" t="s">
        <v>3933</v>
      </c>
      <c r="C1179" s="8" t="n">
        <v>2017</v>
      </c>
      <c r="D1179" s="8" t="s">
        <v>58</v>
      </c>
      <c r="E1179" s="8" t="s">
        <v>3934</v>
      </c>
      <c r="F1179" s="8" t="s">
        <v>782</v>
      </c>
      <c r="G1179" s="8" t="s">
        <v>783</v>
      </c>
      <c r="H1179" s="8" t="s">
        <v>784</v>
      </c>
    </row>
    <row r="1180" customFormat="false" ht="15" hidden="false" customHeight="false" outlineLevel="0" collapsed="false">
      <c r="A1180" s="8" t="s">
        <v>3935</v>
      </c>
      <c r="B1180" s="8" t="s">
        <v>3936</v>
      </c>
      <c r="C1180" s="8" t="n">
        <v>2011</v>
      </c>
      <c r="D1180" s="8" t="s">
        <v>58</v>
      </c>
      <c r="E1180" s="8" t="s">
        <v>3937</v>
      </c>
      <c r="F1180" s="8" t="s">
        <v>782</v>
      </c>
      <c r="G1180" s="8" t="s">
        <v>783</v>
      </c>
      <c r="H1180" s="8" t="s">
        <v>784</v>
      </c>
    </row>
    <row r="1181" customFormat="false" ht="15" hidden="false" customHeight="false" outlineLevel="0" collapsed="false">
      <c r="A1181" s="8" t="s">
        <v>3938</v>
      </c>
      <c r="B1181" s="8" t="s">
        <v>3939</v>
      </c>
      <c r="C1181" s="8" t="n">
        <v>2013</v>
      </c>
      <c r="D1181" s="8" t="s">
        <v>58</v>
      </c>
      <c r="E1181" s="8"/>
      <c r="F1181" s="8" t="s">
        <v>782</v>
      </c>
      <c r="G1181" s="8" t="s">
        <v>801</v>
      </c>
      <c r="H1181" s="8" t="s">
        <v>915</v>
      </c>
    </row>
    <row r="1182" customFormat="false" ht="15" hidden="false" customHeight="false" outlineLevel="0" collapsed="false">
      <c r="A1182" s="8" t="s">
        <v>3940</v>
      </c>
      <c r="B1182" s="8" t="s">
        <v>3941</v>
      </c>
      <c r="C1182" s="8" t="n">
        <v>2013</v>
      </c>
      <c r="D1182" s="8" t="s">
        <v>90</v>
      </c>
      <c r="E1182" s="8" t="s">
        <v>3942</v>
      </c>
      <c r="F1182" s="8" t="s">
        <v>782</v>
      </c>
      <c r="G1182" s="8" t="s">
        <v>783</v>
      </c>
      <c r="H1182" s="8" t="s">
        <v>784</v>
      </c>
    </row>
    <row r="1183" customFormat="false" ht="15" hidden="false" customHeight="false" outlineLevel="0" collapsed="false">
      <c r="A1183" s="8" t="s">
        <v>3943</v>
      </c>
      <c r="B1183" s="8" t="s">
        <v>3944</v>
      </c>
      <c r="C1183" s="8" t="n">
        <v>2015</v>
      </c>
      <c r="D1183" s="8" t="s">
        <v>83</v>
      </c>
      <c r="E1183" s="8" t="s">
        <v>3945</v>
      </c>
      <c r="F1183" s="8" t="s">
        <v>782</v>
      </c>
      <c r="G1183" s="8" t="s">
        <v>783</v>
      </c>
      <c r="H1183" s="8" t="s">
        <v>784</v>
      </c>
    </row>
    <row r="1184" customFormat="false" ht="15" hidden="false" customHeight="false" outlineLevel="0" collapsed="false">
      <c r="A1184" s="8" t="s">
        <v>3946</v>
      </c>
      <c r="B1184" s="8" t="s">
        <v>3947</v>
      </c>
      <c r="C1184" s="8" t="n">
        <v>2018</v>
      </c>
      <c r="D1184" s="8" t="s">
        <v>83</v>
      </c>
      <c r="E1184" s="8" t="s">
        <v>3948</v>
      </c>
      <c r="F1184" s="8" t="s">
        <v>782</v>
      </c>
      <c r="G1184" s="8" t="s">
        <v>783</v>
      </c>
      <c r="H1184" s="8" t="s">
        <v>861</v>
      </c>
    </row>
    <row r="1185" customFormat="false" ht="15" hidden="false" customHeight="false" outlineLevel="0" collapsed="false">
      <c r="A1185" s="8" t="s">
        <v>3949</v>
      </c>
      <c r="B1185" s="8" t="s">
        <v>3950</v>
      </c>
      <c r="C1185" s="8" t="n">
        <v>2011</v>
      </c>
      <c r="D1185" s="8" t="s">
        <v>58</v>
      </c>
      <c r="E1185" s="8" t="s">
        <v>3951</v>
      </c>
      <c r="F1185" s="8" t="s">
        <v>782</v>
      </c>
      <c r="G1185" s="8" t="s">
        <v>801</v>
      </c>
      <c r="H1185" s="8" t="s">
        <v>802</v>
      </c>
    </row>
    <row r="1186" customFormat="false" ht="15" hidden="false" customHeight="false" outlineLevel="0" collapsed="false">
      <c r="A1186" s="8" t="s">
        <v>3952</v>
      </c>
      <c r="B1186" s="8" t="s">
        <v>3953</v>
      </c>
      <c r="C1186" s="8" t="n">
        <v>2010</v>
      </c>
      <c r="D1186" s="8" t="s">
        <v>83</v>
      </c>
      <c r="E1186" s="8" t="s">
        <v>3954</v>
      </c>
      <c r="F1186" s="8" t="s">
        <v>782</v>
      </c>
      <c r="G1186" s="8" t="s">
        <v>783</v>
      </c>
      <c r="H1186" s="8" t="s">
        <v>784</v>
      </c>
    </row>
    <row r="1187" customFormat="false" ht="15" hidden="false" customHeight="false" outlineLevel="0" collapsed="false">
      <c r="A1187" s="8" t="s">
        <v>3955</v>
      </c>
      <c r="B1187" s="8" t="s">
        <v>3956</v>
      </c>
      <c r="C1187" s="8" t="n">
        <v>2011</v>
      </c>
      <c r="D1187" s="8" t="s">
        <v>58</v>
      </c>
      <c r="E1187" s="8"/>
      <c r="F1187" s="8" t="s">
        <v>782</v>
      </c>
      <c r="G1187" s="8" t="s">
        <v>783</v>
      </c>
      <c r="H1187" s="8" t="s">
        <v>784</v>
      </c>
    </row>
    <row r="1188" customFormat="false" ht="15" hidden="false" customHeight="false" outlineLevel="0" collapsed="false">
      <c r="A1188" s="8" t="s">
        <v>3957</v>
      </c>
      <c r="B1188" s="8" t="s">
        <v>3958</v>
      </c>
      <c r="C1188" s="8" t="n">
        <v>2015</v>
      </c>
      <c r="D1188" s="8" t="s">
        <v>58</v>
      </c>
      <c r="E1188" s="8" t="s">
        <v>3959</v>
      </c>
      <c r="F1188" s="8" t="s">
        <v>782</v>
      </c>
      <c r="G1188" s="8" t="s">
        <v>783</v>
      </c>
      <c r="H1188" s="8" t="s">
        <v>784</v>
      </c>
    </row>
    <row r="1189" customFormat="false" ht="15" hidden="false" customHeight="false" outlineLevel="0" collapsed="false">
      <c r="A1189" s="8" t="s">
        <v>3960</v>
      </c>
      <c r="B1189" s="8" t="s">
        <v>3961</v>
      </c>
      <c r="C1189" s="8" t="n">
        <v>2010</v>
      </c>
      <c r="D1189" s="8" t="s">
        <v>58</v>
      </c>
      <c r="E1189" s="8" t="s">
        <v>3962</v>
      </c>
      <c r="F1189" s="8" t="s">
        <v>782</v>
      </c>
      <c r="G1189" s="8" t="s">
        <v>783</v>
      </c>
      <c r="H1189" s="8" t="s">
        <v>784</v>
      </c>
    </row>
    <row r="1190" customFormat="false" ht="15" hidden="false" customHeight="false" outlineLevel="0" collapsed="false">
      <c r="A1190" s="8" t="s">
        <v>3963</v>
      </c>
      <c r="B1190" s="8" t="s">
        <v>3964</v>
      </c>
      <c r="C1190" s="8" t="n">
        <v>2015</v>
      </c>
      <c r="D1190" s="8" t="s">
        <v>58</v>
      </c>
      <c r="E1190" s="8"/>
      <c r="F1190" s="8" t="s">
        <v>782</v>
      </c>
      <c r="G1190" s="8" t="s">
        <v>783</v>
      </c>
      <c r="H1190" s="8" t="s">
        <v>784</v>
      </c>
    </row>
    <row r="1191" customFormat="false" ht="15" hidden="false" customHeight="false" outlineLevel="0" collapsed="false">
      <c r="A1191" s="8" t="s">
        <v>3965</v>
      </c>
      <c r="B1191" s="8" t="s">
        <v>3966</v>
      </c>
      <c r="C1191" s="8" t="n">
        <v>2015</v>
      </c>
      <c r="D1191" s="8" t="s">
        <v>58</v>
      </c>
      <c r="E1191" s="8" t="s">
        <v>3967</v>
      </c>
      <c r="F1191" s="8" t="s">
        <v>782</v>
      </c>
      <c r="G1191" s="8" t="s">
        <v>783</v>
      </c>
      <c r="H1191" s="8" t="s">
        <v>784</v>
      </c>
    </row>
    <row r="1192" customFormat="false" ht="15" hidden="false" customHeight="false" outlineLevel="0" collapsed="false">
      <c r="A1192" s="8" t="s">
        <v>3968</v>
      </c>
      <c r="B1192" s="8" t="s">
        <v>3969</v>
      </c>
      <c r="C1192" s="8" t="n">
        <v>2011</v>
      </c>
      <c r="D1192" s="8" t="s">
        <v>58</v>
      </c>
      <c r="E1192" s="8" t="s">
        <v>3970</v>
      </c>
      <c r="F1192" s="8" t="s">
        <v>782</v>
      </c>
      <c r="G1192" s="8" t="s">
        <v>783</v>
      </c>
      <c r="H1192" s="8" t="s">
        <v>784</v>
      </c>
    </row>
    <row r="1193" customFormat="false" ht="15" hidden="false" customHeight="false" outlineLevel="0" collapsed="false">
      <c r="A1193" s="8" t="s">
        <v>3971</v>
      </c>
      <c r="B1193" s="8" t="s">
        <v>3972</v>
      </c>
      <c r="C1193" s="8" t="n">
        <v>2014</v>
      </c>
      <c r="D1193" s="8" t="s">
        <v>58</v>
      </c>
      <c r="E1193" s="8" t="s">
        <v>3973</v>
      </c>
      <c r="F1193" s="8" t="s">
        <v>782</v>
      </c>
      <c r="G1193" s="8" t="s">
        <v>783</v>
      </c>
      <c r="H1193" s="8" t="s">
        <v>784</v>
      </c>
    </row>
    <row r="1194" customFormat="false" ht="15" hidden="false" customHeight="false" outlineLevel="0" collapsed="false">
      <c r="A1194" s="8" t="s">
        <v>3974</v>
      </c>
      <c r="B1194" s="8" t="s">
        <v>3975</v>
      </c>
      <c r="C1194" s="8" t="n">
        <v>2017</v>
      </c>
      <c r="D1194" s="8" t="s">
        <v>58</v>
      </c>
      <c r="E1194" s="8" t="s">
        <v>3976</v>
      </c>
      <c r="F1194" s="8" t="s">
        <v>782</v>
      </c>
      <c r="G1194" s="8" t="s">
        <v>783</v>
      </c>
      <c r="H1194" s="8" t="s">
        <v>784</v>
      </c>
    </row>
    <row r="1195" customFormat="false" ht="15" hidden="false" customHeight="false" outlineLevel="0" collapsed="false">
      <c r="A1195" s="8" t="s">
        <v>3977</v>
      </c>
      <c r="B1195" s="8" t="s">
        <v>3978</v>
      </c>
      <c r="C1195" s="8" t="n">
        <v>2016</v>
      </c>
      <c r="D1195" s="8" t="s">
        <v>58</v>
      </c>
      <c r="E1195" s="8" t="s">
        <v>3979</v>
      </c>
      <c r="F1195" s="8" t="s">
        <v>782</v>
      </c>
      <c r="G1195" s="8" t="s">
        <v>801</v>
      </c>
      <c r="H1195" s="8" t="s">
        <v>802</v>
      </c>
    </row>
    <row r="1196" customFormat="false" ht="15" hidden="false" customHeight="false" outlineLevel="0" collapsed="false">
      <c r="A1196" s="8" t="s">
        <v>3980</v>
      </c>
      <c r="B1196" s="8" t="s">
        <v>3981</v>
      </c>
      <c r="C1196" s="8" t="n">
        <v>2015</v>
      </c>
      <c r="D1196" s="8" t="s">
        <v>58</v>
      </c>
      <c r="E1196" s="8" t="s">
        <v>3982</v>
      </c>
      <c r="F1196" s="8" t="s">
        <v>782</v>
      </c>
      <c r="G1196" s="8" t="s">
        <v>895</v>
      </c>
      <c r="H1196" s="8" t="s">
        <v>896</v>
      </c>
    </row>
    <row r="1197" customFormat="false" ht="15" hidden="false" customHeight="false" outlineLevel="0" collapsed="false">
      <c r="A1197" s="8" t="s">
        <v>3983</v>
      </c>
      <c r="B1197" s="8" t="s">
        <v>3984</v>
      </c>
      <c r="C1197" s="8" t="n">
        <v>2016</v>
      </c>
      <c r="D1197" s="8" t="s">
        <v>58</v>
      </c>
      <c r="E1197" s="8" t="s">
        <v>3985</v>
      </c>
      <c r="F1197" s="8" t="s">
        <v>782</v>
      </c>
      <c r="G1197" s="8" t="s">
        <v>783</v>
      </c>
      <c r="H1197" s="8" t="s">
        <v>861</v>
      </c>
    </row>
    <row r="1198" customFormat="false" ht="15" hidden="false" customHeight="false" outlineLevel="0" collapsed="false">
      <c r="A1198" s="8" t="s">
        <v>3986</v>
      </c>
      <c r="B1198" s="8" t="s">
        <v>3987</v>
      </c>
      <c r="C1198" s="8" t="n">
        <v>2012</v>
      </c>
      <c r="D1198" s="8" t="s">
        <v>58</v>
      </c>
      <c r="E1198" s="8" t="s">
        <v>3988</v>
      </c>
      <c r="F1198" s="8" t="s">
        <v>782</v>
      </c>
      <c r="G1198" s="8" t="s">
        <v>783</v>
      </c>
      <c r="H1198" s="8" t="s">
        <v>784</v>
      </c>
    </row>
    <row r="1199" customFormat="false" ht="15" hidden="false" customHeight="false" outlineLevel="0" collapsed="false">
      <c r="A1199" s="8" t="s">
        <v>3989</v>
      </c>
      <c r="B1199" s="8" t="s">
        <v>3990</v>
      </c>
      <c r="C1199" s="8" t="n">
        <v>2013</v>
      </c>
      <c r="D1199" s="8" t="s">
        <v>83</v>
      </c>
      <c r="E1199" s="8" t="s">
        <v>3991</v>
      </c>
      <c r="F1199" s="8" t="s">
        <v>782</v>
      </c>
      <c r="G1199" s="8" t="s">
        <v>783</v>
      </c>
      <c r="H1199" s="8" t="s">
        <v>784</v>
      </c>
    </row>
    <row r="1200" customFormat="false" ht="15" hidden="false" customHeight="false" outlineLevel="0" collapsed="false">
      <c r="A1200" s="8" t="s">
        <v>3992</v>
      </c>
      <c r="B1200" s="8" t="s">
        <v>3993</v>
      </c>
      <c r="C1200" s="8" t="n">
        <v>2018</v>
      </c>
      <c r="D1200" s="8" t="s">
        <v>83</v>
      </c>
      <c r="E1200" s="8" t="s">
        <v>3994</v>
      </c>
      <c r="F1200" s="8" t="s">
        <v>782</v>
      </c>
      <c r="G1200" s="8" t="s">
        <v>783</v>
      </c>
      <c r="H1200" s="8" t="s">
        <v>784</v>
      </c>
    </row>
    <row r="1201" customFormat="false" ht="15" hidden="false" customHeight="false" outlineLevel="0" collapsed="false">
      <c r="A1201" s="8" t="s">
        <v>3995</v>
      </c>
      <c r="B1201" s="8" t="s">
        <v>3996</v>
      </c>
      <c r="C1201" s="8" t="n">
        <v>2013</v>
      </c>
      <c r="D1201" s="8" t="s">
        <v>58</v>
      </c>
      <c r="E1201" s="8"/>
      <c r="F1201" s="8" t="s">
        <v>782</v>
      </c>
      <c r="G1201" s="8" t="s">
        <v>783</v>
      </c>
      <c r="H1201" s="8" t="s">
        <v>784</v>
      </c>
    </row>
    <row r="1202" customFormat="false" ht="15" hidden="false" customHeight="false" outlineLevel="0" collapsed="false">
      <c r="A1202" s="8" t="s">
        <v>3997</v>
      </c>
      <c r="B1202" s="8" t="s">
        <v>3998</v>
      </c>
      <c r="C1202" s="8" t="n">
        <v>2018</v>
      </c>
      <c r="D1202" s="8" t="s">
        <v>58</v>
      </c>
      <c r="E1202" s="8" t="s">
        <v>3999</v>
      </c>
      <c r="F1202" s="8" t="s">
        <v>782</v>
      </c>
      <c r="G1202" s="8" t="s">
        <v>783</v>
      </c>
      <c r="H1202" s="8" t="s">
        <v>861</v>
      </c>
    </row>
    <row r="1203" customFormat="false" ht="15" hidden="false" customHeight="false" outlineLevel="0" collapsed="false">
      <c r="A1203" s="8" t="s">
        <v>4000</v>
      </c>
      <c r="B1203" s="8" t="s">
        <v>4001</v>
      </c>
      <c r="C1203" s="8" t="n">
        <v>2013</v>
      </c>
      <c r="D1203" s="8" t="s">
        <v>58</v>
      </c>
      <c r="E1203" s="8"/>
      <c r="F1203" s="8" t="s">
        <v>782</v>
      </c>
      <c r="G1203" s="8" t="s">
        <v>783</v>
      </c>
      <c r="H1203" s="8" t="s">
        <v>784</v>
      </c>
    </row>
    <row r="1204" customFormat="false" ht="15" hidden="false" customHeight="false" outlineLevel="0" collapsed="false">
      <c r="A1204" s="8" t="s">
        <v>4002</v>
      </c>
      <c r="B1204" s="8" t="s">
        <v>4003</v>
      </c>
      <c r="C1204" s="8" t="n">
        <v>2011</v>
      </c>
      <c r="D1204" s="8" t="s">
        <v>58</v>
      </c>
      <c r="E1204" s="8" t="s">
        <v>4004</v>
      </c>
      <c r="F1204" s="8" t="s">
        <v>782</v>
      </c>
      <c r="G1204" s="8" t="s">
        <v>783</v>
      </c>
      <c r="H1204" s="8" t="s">
        <v>784</v>
      </c>
    </row>
    <row r="1205" customFormat="false" ht="15" hidden="false" customHeight="false" outlineLevel="0" collapsed="false">
      <c r="A1205" s="8" t="s">
        <v>4005</v>
      </c>
      <c r="B1205" s="8" t="s">
        <v>4006</v>
      </c>
      <c r="C1205" s="8" t="n">
        <v>2015</v>
      </c>
      <c r="D1205" s="8" t="s">
        <v>58</v>
      </c>
      <c r="E1205" s="8" t="s">
        <v>4007</v>
      </c>
      <c r="F1205" s="8" t="s">
        <v>782</v>
      </c>
      <c r="G1205" s="8" t="s">
        <v>783</v>
      </c>
      <c r="H1205" s="8" t="s">
        <v>784</v>
      </c>
    </row>
    <row r="1206" customFormat="false" ht="15" hidden="false" customHeight="false" outlineLevel="0" collapsed="false">
      <c r="A1206" s="8" t="s">
        <v>4008</v>
      </c>
      <c r="B1206" s="8" t="s">
        <v>4009</v>
      </c>
      <c r="C1206" s="8" t="n">
        <v>2012</v>
      </c>
      <c r="D1206" s="8" t="s">
        <v>58</v>
      </c>
      <c r="E1206" s="8" t="s">
        <v>4010</v>
      </c>
      <c r="F1206" s="8" t="s">
        <v>782</v>
      </c>
      <c r="G1206" s="8" t="s">
        <v>783</v>
      </c>
      <c r="H1206" s="8" t="s">
        <v>784</v>
      </c>
    </row>
    <row r="1207" customFormat="false" ht="15" hidden="false" customHeight="false" outlineLevel="0" collapsed="false">
      <c r="A1207" s="8" t="s">
        <v>4011</v>
      </c>
      <c r="B1207" s="8" t="s">
        <v>4012</v>
      </c>
      <c r="C1207" s="8" t="n">
        <v>2015</v>
      </c>
      <c r="D1207" s="8" t="s">
        <v>58</v>
      </c>
      <c r="E1207" s="8" t="s">
        <v>4013</v>
      </c>
      <c r="F1207" s="8" t="s">
        <v>782</v>
      </c>
      <c r="G1207" s="8" t="s">
        <v>783</v>
      </c>
      <c r="H1207" s="8" t="s">
        <v>784</v>
      </c>
    </row>
    <row r="1208" customFormat="false" ht="15" hidden="false" customHeight="false" outlineLevel="0" collapsed="false">
      <c r="A1208" s="8" t="s">
        <v>4014</v>
      </c>
      <c r="B1208" s="8" t="s">
        <v>4015</v>
      </c>
      <c r="C1208" s="8" t="n">
        <v>2009</v>
      </c>
      <c r="D1208" s="8" t="s">
        <v>58</v>
      </c>
      <c r="E1208" s="8" t="s">
        <v>4016</v>
      </c>
      <c r="F1208" s="8" t="s">
        <v>782</v>
      </c>
      <c r="G1208" s="8" t="s">
        <v>783</v>
      </c>
      <c r="H1208" s="8" t="s">
        <v>784</v>
      </c>
    </row>
    <row r="1209" customFormat="false" ht="15" hidden="false" customHeight="false" outlineLevel="0" collapsed="false">
      <c r="A1209" s="8" t="s">
        <v>4017</v>
      </c>
      <c r="B1209" s="8" t="s">
        <v>4018</v>
      </c>
      <c r="C1209" s="8" t="n">
        <v>2016</v>
      </c>
      <c r="D1209" s="8" t="s">
        <v>58</v>
      </c>
      <c r="E1209" s="8" t="s">
        <v>4019</v>
      </c>
      <c r="F1209" s="8" t="s">
        <v>782</v>
      </c>
      <c r="G1209" s="8" t="s">
        <v>783</v>
      </c>
      <c r="H1209" s="8" t="s">
        <v>784</v>
      </c>
    </row>
    <row r="1210" customFormat="false" ht="15" hidden="false" customHeight="false" outlineLevel="0" collapsed="false">
      <c r="A1210" s="8" t="s">
        <v>700</v>
      </c>
      <c r="B1210" s="8" t="s">
        <v>702</v>
      </c>
      <c r="C1210" s="8" t="n">
        <v>2016</v>
      </c>
      <c r="D1210" s="8" t="s">
        <v>83</v>
      </c>
      <c r="E1210" s="8" t="s">
        <v>704</v>
      </c>
      <c r="F1210" s="8" t="s">
        <v>852</v>
      </c>
      <c r="G1210" s="8" t="s">
        <v>853</v>
      </c>
      <c r="H1210" s="8" t="s">
        <v>854</v>
      </c>
    </row>
    <row r="1211" customFormat="false" ht="15" hidden="false" customHeight="false" outlineLevel="0" collapsed="false">
      <c r="A1211" s="8" t="s">
        <v>4020</v>
      </c>
      <c r="B1211" s="8" t="s">
        <v>4021</v>
      </c>
      <c r="C1211" s="8" t="n">
        <v>2012</v>
      </c>
      <c r="D1211" s="8" t="s">
        <v>58</v>
      </c>
      <c r="E1211" s="8"/>
      <c r="F1211" s="8" t="s">
        <v>782</v>
      </c>
      <c r="G1211" s="8" t="s">
        <v>783</v>
      </c>
      <c r="H1211" s="8" t="s">
        <v>784</v>
      </c>
    </row>
    <row r="1212" customFormat="false" ht="15" hidden="false" customHeight="false" outlineLevel="0" collapsed="false">
      <c r="A1212" s="8" t="s">
        <v>616</v>
      </c>
      <c r="B1212" s="8" t="s">
        <v>618</v>
      </c>
      <c r="C1212" s="8" t="n">
        <v>2018</v>
      </c>
      <c r="D1212" s="8" t="s">
        <v>58</v>
      </c>
      <c r="E1212" s="8" t="s">
        <v>620</v>
      </c>
      <c r="F1212" s="8" t="s">
        <v>852</v>
      </c>
      <c r="G1212" s="8" t="s">
        <v>853</v>
      </c>
      <c r="H1212" s="8" t="s">
        <v>854</v>
      </c>
    </row>
    <row r="1213" customFormat="false" ht="15" hidden="false" customHeight="false" outlineLevel="0" collapsed="false">
      <c r="A1213" s="8" t="s">
        <v>4022</v>
      </c>
      <c r="B1213" s="8" t="s">
        <v>4023</v>
      </c>
      <c r="C1213" s="8" t="n">
        <v>2017</v>
      </c>
      <c r="D1213" s="8" t="s">
        <v>58</v>
      </c>
      <c r="E1213" s="8"/>
      <c r="F1213" s="8" t="s">
        <v>782</v>
      </c>
      <c r="G1213" s="8" t="s">
        <v>895</v>
      </c>
      <c r="H1213" s="8" t="s">
        <v>896</v>
      </c>
    </row>
    <row r="1214" customFormat="false" ht="15" hidden="false" customHeight="false" outlineLevel="0" collapsed="false">
      <c r="A1214" s="8" t="s">
        <v>4024</v>
      </c>
      <c r="B1214" s="8" t="s">
        <v>4025</v>
      </c>
      <c r="C1214" s="8" t="n">
        <v>2011</v>
      </c>
      <c r="D1214" s="8" t="s">
        <v>58</v>
      </c>
      <c r="E1214" s="8"/>
      <c r="F1214" s="8" t="s">
        <v>782</v>
      </c>
      <c r="G1214" s="8" t="s">
        <v>783</v>
      </c>
      <c r="H1214" s="8" t="s">
        <v>784</v>
      </c>
    </row>
    <row r="1215" customFormat="false" ht="15" hidden="false" customHeight="false" outlineLevel="0" collapsed="false">
      <c r="A1215" s="8" t="s">
        <v>4026</v>
      </c>
      <c r="B1215" s="8" t="s">
        <v>4027</v>
      </c>
      <c r="C1215" s="8" t="n">
        <v>2018</v>
      </c>
      <c r="D1215" s="8" t="s">
        <v>58</v>
      </c>
      <c r="E1215" s="8" t="s">
        <v>4028</v>
      </c>
      <c r="F1215" s="8" t="s">
        <v>782</v>
      </c>
      <c r="G1215" s="8" t="s">
        <v>783</v>
      </c>
      <c r="H1215" s="8" t="s">
        <v>784</v>
      </c>
    </row>
    <row r="1216" customFormat="false" ht="15" hidden="false" customHeight="false" outlineLevel="0" collapsed="false">
      <c r="A1216" s="8" t="s">
        <v>4029</v>
      </c>
      <c r="B1216" s="8" t="s">
        <v>4030</v>
      </c>
      <c r="C1216" s="8" t="n">
        <v>2012</v>
      </c>
      <c r="D1216" s="8" t="s">
        <v>83</v>
      </c>
      <c r="E1216" s="8" t="s">
        <v>4031</v>
      </c>
      <c r="F1216" s="8" t="s">
        <v>782</v>
      </c>
      <c r="G1216" s="8" t="s">
        <v>783</v>
      </c>
      <c r="H1216" s="8" t="s">
        <v>861</v>
      </c>
    </row>
    <row r="1217" customFormat="false" ht="15" hidden="false" customHeight="false" outlineLevel="0" collapsed="false">
      <c r="A1217" s="8" t="s">
        <v>4032</v>
      </c>
      <c r="B1217" s="8" t="s">
        <v>4033</v>
      </c>
      <c r="C1217" s="8" t="n">
        <v>2018</v>
      </c>
      <c r="D1217" s="8" t="s">
        <v>58</v>
      </c>
      <c r="E1217" s="8" t="s">
        <v>4034</v>
      </c>
      <c r="F1217" s="8" t="s">
        <v>782</v>
      </c>
      <c r="G1217" s="8" t="s">
        <v>783</v>
      </c>
      <c r="H1217" s="8" t="s">
        <v>784</v>
      </c>
    </row>
    <row r="1218" customFormat="false" ht="15" hidden="false" customHeight="false" outlineLevel="0" collapsed="false">
      <c r="A1218" s="8" t="s">
        <v>4035</v>
      </c>
      <c r="B1218" s="8" t="s">
        <v>4036</v>
      </c>
      <c r="C1218" s="8" t="n">
        <v>2017</v>
      </c>
      <c r="D1218" s="8" t="s">
        <v>58</v>
      </c>
      <c r="E1218" s="8"/>
      <c r="F1218" s="8" t="s">
        <v>782</v>
      </c>
      <c r="G1218" s="8" t="s">
        <v>783</v>
      </c>
      <c r="H1218" s="8" t="s">
        <v>784</v>
      </c>
    </row>
    <row r="1219" customFormat="false" ht="15" hidden="false" customHeight="false" outlineLevel="0" collapsed="false">
      <c r="A1219" s="8" t="s">
        <v>4037</v>
      </c>
      <c r="B1219" s="8" t="s">
        <v>4038</v>
      </c>
      <c r="C1219" s="8" t="n">
        <v>2010</v>
      </c>
      <c r="D1219" s="8" t="s">
        <v>58</v>
      </c>
      <c r="E1219" s="8" t="s">
        <v>4039</v>
      </c>
      <c r="F1219" s="8" t="s">
        <v>782</v>
      </c>
      <c r="G1219" s="8" t="s">
        <v>801</v>
      </c>
      <c r="H1219" s="8" t="s">
        <v>802</v>
      </c>
    </row>
    <row r="1220" customFormat="false" ht="15" hidden="false" customHeight="false" outlineLevel="0" collapsed="false">
      <c r="A1220" s="8" t="s">
        <v>4040</v>
      </c>
      <c r="B1220" s="8" t="s">
        <v>4041</v>
      </c>
      <c r="C1220" s="8" t="n">
        <v>2016</v>
      </c>
      <c r="D1220" s="8" t="s">
        <v>58</v>
      </c>
      <c r="E1220" s="8" t="s">
        <v>4042</v>
      </c>
      <c r="F1220" s="8" t="s">
        <v>782</v>
      </c>
      <c r="G1220" s="8" t="s">
        <v>783</v>
      </c>
      <c r="H1220" s="8" t="s">
        <v>784</v>
      </c>
    </row>
    <row r="1221" customFormat="false" ht="15" hidden="false" customHeight="false" outlineLevel="0" collapsed="false">
      <c r="A1221" s="8" t="s">
        <v>4043</v>
      </c>
      <c r="B1221" s="8" t="s">
        <v>4044</v>
      </c>
      <c r="C1221" s="8" t="n">
        <v>2012</v>
      </c>
      <c r="D1221" s="8" t="s">
        <v>58</v>
      </c>
      <c r="E1221" s="8" t="s">
        <v>4045</v>
      </c>
      <c r="F1221" s="8" t="s">
        <v>782</v>
      </c>
      <c r="G1221" s="8" t="s">
        <v>783</v>
      </c>
      <c r="H1221" s="8" t="s">
        <v>784</v>
      </c>
    </row>
    <row r="1222" customFormat="false" ht="15" hidden="false" customHeight="false" outlineLevel="0" collapsed="false">
      <c r="A1222" s="8" t="s">
        <v>4046</v>
      </c>
      <c r="B1222" s="8" t="s">
        <v>4047</v>
      </c>
      <c r="C1222" s="8" t="n">
        <v>2016</v>
      </c>
      <c r="D1222" s="8" t="s">
        <v>58</v>
      </c>
      <c r="E1222" s="8"/>
      <c r="F1222" s="8" t="s">
        <v>782</v>
      </c>
      <c r="G1222" s="8" t="s">
        <v>783</v>
      </c>
      <c r="H1222" s="8" t="s">
        <v>784</v>
      </c>
    </row>
    <row r="1223" customFormat="false" ht="15" hidden="false" customHeight="false" outlineLevel="0" collapsed="false">
      <c r="A1223" s="8" t="s">
        <v>4048</v>
      </c>
      <c r="B1223" s="8" t="s">
        <v>4049</v>
      </c>
      <c r="C1223" s="8" t="n">
        <v>2010</v>
      </c>
      <c r="D1223" s="8" t="s">
        <v>58</v>
      </c>
      <c r="E1223" s="8"/>
      <c r="F1223" s="8" t="s">
        <v>782</v>
      </c>
      <c r="G1223" s="8" t="s">
        <v>783</v>
      </c>
      <c r="H1223" s="8" t="s">
        <v>784</v>
      </c>
    </row>
    <row r="1224" customFormat="false" ht="15" hidden="false" customHeight="false" outlineLevel="0" collapsed="false">
      <c r="A1224" s="8" t="s">
        <v>4050</v>
      </c>
      <c r="B1224" s="8" t="s">
        <v>4051</v>
      </c>
      <c r="C1224" s="8" t="n">
        <v>2014</v>
      </c>
      <c r="D1224" s="8" t="s">
        <v>58</v>
      </c>
      <c r="E1224" s="8"/>
      <c r="F1224" s="8" t="s">
        <v>782</v>
      </c>
      <c r="G1224" s="8" t="s">
        <v>788</v>
      </c>
      <c r="H1224" s="8" t="s">
        <v>789</v>
      </c>
    </row>
    <row r="1225" customFormat="false" ht="15" hidden="false" customHeight="false" outlineLevel="0" collapsed="false">
      <c r="A1225" s="8" t="s">
        <v>4052</v>
      </c>
      <c r="B1225" s="8" t="s">
        <v>4053</v>
      </c>
      <c r="C1225" s="8" t="n">
        <v>2016</v>
      </c>
      <c r="D1225" s="8" t="s">
        <v>90</v>
      </c>
      <c r="E1225" s="8"/>
      <c r="F1225" s="8" t="s">
        <v>782</v>
      </c>
      <c r="G1225" s="8" t="s">
        <v>783</v>
      </c>
      <c r="H1225" s="8" t="s">
        <v>784</v>
      </c>
    </row>
    <row r="1226" customFormat="false" ht="15" hidden="false" customHeight="false" outlineLevel="0" collapsed="false">
      <c r="A1226" s="8" t="s">
        <v>4054</v>
      </c>
      <c r="B1226" s="8" t="s">
        <v>4055</v>
      </c>
      <c r="C1226" s="8" t="n">
        <v>2018</v>
      </c>
      <c r="D1226" s="8" t="s">
        <v>58</v>
      </c>
      <c r="E1226" s="8" t="s">
        <v>4056</v>
      </c>
      <c r="F1226" s="8" t="s">
        <v>782</v>
      </c>
      <c r="G1226" s="8" t="s">
        <v>783</v>
      </c>
      <c r="H1226" s="8" t="s">
        <v>861</v>
      </c>
    </row>
    <row r="1227" customFormat="false" ht="15" hidden="false" customHeight="false" outlineLevel="0" collapsed="false">
      <c r="A1227" s="8" t="s">
        <v>4057</v>
      </c>
      <c r="B1227" s="8" t="s">
        <v>4058</v>
      </c>
      <c r="C1227" s="8" t="n">
        <v>2017</v>
      </c>
      <c r="D1227" s="8" t="s">
        <v>58</v>
      </c>
      <c r="E1227" s="8" t="s">
        <v>4059</v>
      </c>
      <c r="F1227" s="8" t="s">
        <v>782</v>
      </c>
      <c r="G1227" s="8" t="s">
        <v>783</v>
      </c>
      <c r="H1227" s="8" t="s">
        <v>784</v>
      </c>
    </row>
    <row r="1228" customFormat="false" ht="15" hidden="false" customHeight="false" outlineLevel="0" collapsed="false">
      <c r="A1228" s="8" t="s">
        <v>4060</v>
      </c>
      <c r="B1228" s="8" t="s">
        <v>4061</v>
      </c>
      <c r="C1228" s="8" t="n">
        <v>2011</v>
      </c>
      <c r="D1228" s="8" t="s">
        <v>58</v>
      </c>
      <c r="E1228" s="8"/>
      <c r="F1228" s="8" t="s">
        <v>782</v>
      </c>
      <c r="G1228" s="8" t="s">
        <v>783</v>
      </c>
      <c r="H1228" s="8" t="s">
        <v>784</v>
      </c>
    </row>
    <row r="1229" customFormat="false" ht="15" hidden="false" customHeight="false" outlineLevel="0" collapsed="false">
      <c r="A1229" s="8" t="s">
        <v>682</v>
      </c>
      <c r="B1229" s="8" t="s">
        <v>684</v>
      </c>
      <c r="C1229" s="8" t="n">
        <v>2017</v>
      </c>
      <c r="D1229" s="8" t="s">
        <v>83</v>
      </c>
      <c r="E1229" s="8" t="s">
        <v>686</v>
      </c>
      <c r="F1229" s="8" t="s">
        <v>852</v>
      </c>
      <c r="G1229" s="8" t="s">
        <v>853</v>
      </c>
      <c r="H1229" s="8" t="s">
        <v>854</v>
      </c>
    </row>
    <row r="1230" customFormat="false" ht="15" hidden="false" customHeight="false" outlineLevel="0" collapsed="false">
      <c r="A1230" s="8" t="s">
        <v>4062</v>
      </c>
      <c r="B1230" s="8" t="s">
        <v>4063</v>
      </c>
      <c r="C1230" s="8" t="n">
        <v>2016</v>
      </c>
      <c r="D1230" s="8" t="s">
        <v>58</v>
      </c>
      <c r="E1230" s="8" t="s">
        <v>4064</v>
      </c>
      <c r="F1230" s="8" t="s">
        <v>782</v>
      </c>
      <c r="G1230" s="8" t="s">
        <v>801</v>
      </c>
      <c r="H1230" s="8" t="s">
        <v>802</v>
      </c>
    </row>
    <row r="1231" customFormat="false" ht="15" hidden="false" customHeight="false" outlineLevel="0" collapsed="false">
      <c r="A1231" s="8" t="s">
        <v>4065</v>
      </c>
      <c r="B1231" s="8" t="s">
        <v>4066</v>
      </c>
      <c r="C1231" s="8" t="n">
        <v>2013</v>
      </c>
      <c r="D1231" s="8" t="s">
        <v>58</v>
      </c>
      <c r="E1231" s="8" t="s">
        <v>4067</v>
      </c>
      <c r="F1231" s="8" t="s">
        <v>782</v>
      </c>
      <c r="G1231" s="8" t="s">
        <v>895</v>
      </c>
      <c r="H1231" s="8" t="s">
        <v>896</v>
      </c>
    </row>
    <row r="1232" customFormat="false" ht="15" hidden="false" customHeight="false" outlineLevel="0" collapsed="false">
      <c r="A1232" s="8" t="s">
        <v>4068</v>
      </c>
      <c r="B1232" s="8" t="s">
        <v>4069</v>
      </c>
      <c r="C1232" s="8" t="n">
        <v>2017</v>
      </c>
      <c r="D1232" s="8" t="s">
        <v>83</v>
      </c>
      <c r="E1232" s="8" t="s">
        <v>4070</v>
      </c>
      <c r="F1232" s="8" t="s">
        <v>782</v>
      </c>
      <c r="G1232" s="8" t="s">
        <v>783</v>
      </c>
      <c r="H1232" s="8" t="s">
        <v>784</v>
      </c>
    </row>
    <row r="1233" customFormat="false" ht="15" hidden="false" customHeight="false" outlineLevel="0" collapsed="false">
      <c r="A1233" s="8" t="s">
        <v>4071</v>
      </c>
      <c r="B1233" s="8" t="s">
        <v>4072</v>
      </c>
      <c r="C1233" s="8" t="n">
        <v>2010</v>
      </c>
      <c r="D1233" s="8" t="s">
        <v>58</v>
      </c>
      <c r="E1233" s="8" t="s">
        <v>4073</v>
      </c>
      <c r="F1233" s="8" t="s">
        <v>782</v>
      </c>
      <c r="G1233" s="8" t="s">
        <v>783</v>
      </c>
      <c r="H1233" s="8" t="s">
        <v>784</v>
      </c>
    </row>
    <row r="1234" customFormat="false" ht="15" hidden="false" customHeight="false" outlineLevel="0" collapsed="false">
      <c r="A1234" s="8" t="s">
        <v>4074</v>
      </c>
      <c r="B1234" s="8" t="s">
        <v>4075</v>
      </c>
      <c r="C1234" s="8" t="n">
        <v>2010</v>
      </c>
      <c r="D1234" s="8" t="s">
        <v>58</v>
      </c>
      <c r="E1234" s="8" t="s">
        <v>4076</v>
      </c>
      <c r="F1234" s="8" t="s">
        <v>782</v>
      </c>
      <c r="G1234" s="8" t="s">
        <v>783</v>
      </c>
      <c r="H1234" s="8" t="s">
        <v>784</v>
      </c>
    </row>
    <row r="1235" customFormat="false" ht="15" hidden="false" customHeight="false" outlineLevel="0" collapsed="false">
      <c r="A1235" s="8" t="s">
        <v>4077</v>
      </c>
      <c r="B1235" s="8" t="s">
        <v>4078</v>
      </c>
      <c r="C1235" s="8" t="n">
        <v>2017</v>
      </c>
      <c r="D1235" s="8" t="s">
        <v>58</v>
      </c>
      <c r="E1235" s="8"/>
      <c r="F1235" s="8" t="s">
        <v>782</v>
      </c>
      <c r="G1235" s="8" t="s">
        <v>783</v>
      </c>
      <c r="H1235" s="8" t="s">
        <v>784</v>
      </c>
    </row>
    <row r="1236" customFormat="false" ht="15" hidden="false" customHeight="false" outlineLevel="0" collapsed="false">
      <c r="A1236" s="8" t="s">
        <v>4079</v>
      </c>
      <c r="B1236" s="8" t="s">
        <v>4080</v>
      </c>
      <c r="C1236" s="8" t="n">
        <v>2015</v>
      </c>
      <c r="D1236" s="8" t="s">
        <v>58</v>
      </c>
      <c r="E1236" s="8" t="s">
        <v>4081</v>
      </c>
      <c r="F1236" s="8" t="s">
        <v>782</v>
      </c>
      <c r="G1236" s="8" t="s">
        <v>783</v>
      </c>
      <c r="H1236" s="8" t="s">
        <v>784</v>
      </c>
    </row>
    <row r="1237" customFormat="false" ht="15" hidden="false" customHeight="false" outlineLevel="0" collapsed="false">
      <c r="A1237" s="8" t="s">
        <v>4082</v>
      </c>
      <c r="B1237" s="8" t="s">
        <v>4083</v>
      </c>
      <c r="C1237" s="8" t="n">
        <v>2010</v>
      </c>
      <c r="D1237" s="8" t="s">
        <v>58</v>
      </c>
      <c r="E1237" s="8" t="s">
        <v>4084</v>
      </c>
      <c r="F1237" s="8" t="s">
        <v>782</v>
      </c>
      <c r="G1237" s="8" t="s">
        <v>801</v>
      </c>
      <c r="H1237" s="8" t="s">
        <v>915</v>
      </c>
    </row>
    <row r="1238" customFormat="false" ht="15" hidden="false" customHeight="false" outlineLevel="0" collapsed="false">
      <c r="A1238" s="8" t="s">
        <v>4085</v>
      </c>
      <c r="B1238" s="8" t="s">
        <v>4086</v>
      </c>
      <c r="C1238" s="8" t="n">
        <v>2010</v>
      </c>
      <c r="D1238" s="8" t="s">
        <v>58</v>
      </c>
      <c r="E1238" s="8" t="s">
        <v>4087</v>
      </c>
      <c r="F1238" s="8" t="s">
        <v>782</v>
      </c>
      <c r="G1238" s="8" t="s">
        <v>783</v>
      </c>
      <c r="H1238" s="8" t="s">
        <v>784</v>
      </c>
    </row>
    <row r="1239" customFormat="false" ht="15" hidden="false" customHeight="false" outlineLevel="0" collapsed="false">
      <c r="A1239" s="8" t="s">
        <v>4088</v>
      </c>
      <c r="B1239" s="8" t="s">
        <v>4089</v>
      </c>
      <c r="C1239" s="8" t="n">
        <v>2010</v>
      </c>
      <c r="D1239" s="8" t="s">
        <v>58</v>
      </c>
      <c r="E1239" s="8" t="s">
        <v>4090</v>
      </c>
      <c r="F1239" s="8" t="s">
        <v>782</v>
      </c>
      <c r="G1239" s="8" t="s">
        <v>783</v>
      </c>
      <c r="H1239" s="8" t="s">
        <v>784</v>
      </c>
    </row>
    <row r="1240" customFormat="false" ht="15" hidden="false" customHeight="false" outlineLevel="0" collapsed="false">
      <c r="A1240" s="8" t="s">
        <v>4091</v>
      </c>
      <c r="B1240" s="8" t="s">
        <v>4092</v>
      </c>
      <c r="C1240" s="8" t="n">
        <v>2018</v>
      </c>
      <c r="D1240" s="8" t="s">
        <v>58</v>
      </c>
      <c r="E1240" s="8" t="s">
        <v>4093</v>
      </c>
      <c r="F1240" s="8" t="s">
        <v>782</v>
      </c>
      <c r="G1240" s="8" t="s">
        <v>783</v>
      </c>
      <c r="H1240" s="8" t="s">
        <v>784</v>
      </c>
    </row>
    <row r="1241" customFormat="false" ht="15" hidden="false" customHeight="false" outlineLevel="0" collapsed="false">
      <c r="A1241" s="8" t="s">
        <v>4094</v>
      </c>
      <c r="B1241" s="8" t="s">
        <v>4095</v>
      </c>
      <c r="C1241" s="8" t="n">
        <v>2017</v>
      </c>
      <c r="D1241" s="8" t="s">
        <v>58</v>
      </c>
      <c r="E1241" s="8" t="s">
        <v>4096</v>
      </c>
      <c r="F1241" s="8" t="s">
        <v>782</v>
      </c>
      <c r="G1241" s="8" t="s">
        <v>783</v>
      </c>
      <c r="H1241" s="8" t="s">
        <v>784</v>
      </c>
    </row>
    <row r="1242" customFormat="false" ht="15" hidden="false" customHeight="false" outlineLevel="0" collapsed="false">
      <c r="A1242" s="8" t="s">
        <v>4097</v>
      </c>
      <c r="B1242" s="8" t="s">
        <v>4098</v>
      </c>
      <c r="C1242" s="8" t="n">
        <v>2010</v>
      </c>
      <c r="D1242" s="8" t="s">
        <v>58</v>
      </c>
      <c r="E1242" s="8"/>
      <c r="F1242" s="8" t="s">
        <v>782</v>
      </c>
      <c r="G1242" s="8" t="s">
        <v>783</v>
      </c>
      <c r="H1242" s="8" t="s">
        <v>784</v>
      </c>
    </row>
    <row r="1243" customFormat="false" ht="15" hidden="false" customHeight="false" outlineLevel="0" collapsed="false">
      <c r="A1243" s="8" t="s">
        <v>4099</v>
      </c>
      <c r="B1243" s="8" t="s">
        <v>4100</v>
      </c>
      <c r="C1243" s="8" t="n">
        <v>2014</v>
      </c>
      <c r="D1243" s="8" t="s">
        <v>58</v>
      </c>
      <c r="E1243" s="8" t="s">
        <v>4101</v>
      </c>
      <c r="F1243" s="8" t="s">
        <v>782</v>
      </c>
      <c r="G1243" s="8" t="s">
        <v>783</v>
      </c>
      <c r="H1243" s="8" t="s">
        <v>784</v>
      </c>
    </row>
    <row r="1244" customFormat="false" ht="15" hidden="false" customHeight="false" outlineLevel="0" collapsed="false">
      <c r="A1244" s="8" t="s">
        <v>4102</v>
      </c>
      <c r="B1244" s="8" t="s">
        <v>4103</v>
      </c>
      <c r="C1244" s="8" t="n">
        <v>2016</v>
      </c>
      <c r="D1244" s="8" t="s">
        <v>58</v>
      </c>
      <c r="E1244" s="8" t="s">
        <v>4104</v>
      </c>
      <c r="F1244" s="8" t="s">
        <v>782</v>
      </c>
      <c r="G1244" s="8" t="s">
        <v>801</v>
      </c>
      <c r="H1244" s="8" t="s">
        <v>802</v>
      </c>
    </row>
    <row r="1245" customFormat="false" ht="15" hidden="false" customHeight="false" outlineLevel="0" collapsed="false">
      <c r="A1245" s="8" t="s">
        <v>4105</v>
      </c>
      <c r="B1245" s="8" t="s">
        <v>4106</v>
      </c>
      <c r="C1245" s="8" t="n">
        <v>2013</v>
      </c>
      <c r="D1245" s="8" t="s">
        <v>58</v>
      </c>
      <c r="E1245" s="8"/>
      <c r="F1245" s="8" t="s">
        <v>782</v>
      </c>
      <c r="G1245" s="8" t="s">
        <v>783</v>
      </c>
      <c r="H1245" s="8" t="s">
        <v>784</v>
      </c>
    </row>
    <row r="1246" customFormat="false" ht="15" hidden="false" customHeight="false" outlineLevel="0" collapsed="false">
      <c r="A1246" s="8" t="s">
        <v>4107</v>
      </c>
      <c r="B1246" s="8" t="s">
        <v>4108</v>
      </c>
      <c r="C1246" s="8" t="n">
        <v>2018</v>
      </c>
      <c r="D1246" s="8" t="s">
        <v>58</v>
      </c>
      <c r="E1246" s="8" t="s">
        <v>4109</v>
      </c>
      <c r="F1246" s="8" t="s">
        <v>782</v>
      </c>
      <c r="G1246" s="8" t="s">
        <v>783</v>
      </c>
      <c r="H1246" s="8" t="s">
        <v>861</v>
      </c>
    </row>
    <row r="1247" customFormat="false" ht="15" hidden="false" customHeight="false" outlineLevel="0" collapsed="false">
      <c r="A1247" s="8" t="s">
        <v>649</v>
      </c>
      <c r="B1247" s="8" t="s">
        <v>651</v>
      </c>
      <c r="C1247" s="8" t="n">
        <v>2018</v>
      </c>
      <c r="D1247" s="8" t="s">
        <v>83</v>
      </c>
      <c r="E1247" s="8" t="s">
        <v>653</v>
      </c>
      <c r="F1247" s="8" t="s">
        <v>852</v>
      </c>
      <c r="G1247" s="8" t="s">
        <v>853</v>
      </c>
      <c r="H1247" s="8" t="s">
        <v>854</v>
      </c>
    </row>
    <row r="1248" customFormat="false" ht="15" hidden="false" customHeight="false" outlineLevel="0" collapsed="false">
      <c r="A1248" s="8" t="s">
        <v>4110</v>
      </c>
      <c r="B1248" s="8" t="s">
        <v>4111</v>
      </c>
      <c r="C1248" s="8" t="n">
        <v>2013</v>
      </c>
      <c r="D1248" s="8" t="s">
        <v>58</v>
      </c>
      <c r="E1248" s="8" t="s">
        <v>4112</v>
      </c>
      <c r="F1248" s="8" t="s">
        <v>782</v>
      </c>
      <c r="G1248" s="8" t="s">
        <v>783</v>
      </c>
      <c r="H1248" s="8" t="s">
        <v>784</v>
      </c>
    </row>
    <row r="1249" customFormat="false" ht="15" hidden="false" customHeight="false" outlineLevel="0" collapsed="false">
      <c r="A1249" s="8" t="s">
        <v>4113</v>
      </c>
      <c r="B1249" s="8" t="s">
        <v>4114</v>
      </c>
      <c r="C1249" s="8" t="n">
        <v>2014</v>
      </c>
      <c r="D1249" s="8" t="s">
        <v>58</v>
      </c>
      <c r="E1249" s="8"/>
      <c r="F1249" s="8" t="s">
        <v>782</v>
      </c>
      <c r="G1249" s="8" t="s">
        <v>783</v>
      </c>
      <c r="H1249" s="8" t="s">
        <v>784</v>
      </c>
    </row>
    <row r="1250" customFormat="false" ht="15" hidden="false" customHeight="false" outlineLevel="0" collapsed="false">
      <c r="A1250" s="8" t="s">
        <v>4115</v>
      </c>
      <c r="B1250" s="8" t="s">
        <v>4116</v>
      </c>
      <c r="C1250" s="8" t="n">
        <v>2017</v>
      </c>
      <c r="D1250" s="8" t="s">
        <v>58</v>
      </c>
      <c r="E1250" s="8" t="s">
        <v>4117</v>
      </c>
      <c r="F1250" s="8" t="s">
        <v>782</v>
      </c>
      <c r="G1250" s="8" t="s">
        <v>783</v>
      </c>
      <c r="H1250" s="8" t="s">
        <v>784</v>
      </c>
    </row>
    <row r="1251" customFormat="false" ht="15" hidden="false" customHeight="false" outlineLevel="0" collapsed="false">
      <c r="A1251" s="8" t="s">
        <v>4118</v>
      </c>
      <c r="B1251" s="8" t="s">
        <v>4119</v>
      </c>
      <c r="C1251" s="8" t="n">
        <v>2017</v>
      </c>
      <c r="D1251" s="8" t="s">
        <v>83</v>
      </c>
      <c r="E1251" s="8" t="s">
        <v>4120</v>
      </c>
      <c r="F1251" s="8" t="s">
        <v>782</v>
      </c>
      <c r="G1251" s="8" t="s">
        <v>783</v>
      </c>
      <c r="H1251" s="8" t="s">
        <v>784</v>
      </c>
    </row>
    <row r="1252" customFormat="false" ht="15" hidden="false" customHeight="false" outlineLevel="0" collapsed="false">
      <c r="A1252" s="8" t="s">
        <v>4121</v>
      </c>
      <c r="B1252" s="8" t="s">
        <v>4122</v>
      </c>
      <c r="C1252" s="8" t="n">
        <v>2011</v>
      </c>
      <c r="D1252" s="8" t="s">
        <v>58</v>
      </c>
      <c r="E1252" s="8"/>
      <c r="F1252" s="8" t="s">
        <v>782</v>
      </c>
      <c r="G1252" s="8" t="s">
        <v>783</v>
      </c>
      <c r="H1252" s="8" t="s">
        <v>784</v>
      </c>
    </row>
    <row r="1253" customFormat="false" ht="15" hidden="false" customHeight="false" outlineLevel="0" collapsed="false">
      <c r="A1253" s="8" t="s">
        <v>655</v>
      </c>
      <c r="B1253" s="8" t="s">
        <v>657</v>
      </c>
      <c r="C1253" s="8" t="n">
        <v>2018</v>
      </c>
      <c r="D1253" s="8" t="s">
        <v>90</v>
      </c>
      <c r="E1253" s="8" t="s">
        <v>659</v>
      </c>
      <c r="F1253" s="8" t="s">
        <v>852</v>
      </c>
      <c r="G1253" s="8" t="s">
        <v>853</v>
      </c>
      <c r="H1253" s="8" t="s">
        <v>854</v>
      </c>
    </row>
    <row r="1254" customFormat="false" ht="15" hidden="false" customHeight="false" outlineLevel="0" collapsed="false">
      <c r="A1254" s="8" t="s">
        <v>4123</v>
      </c>
      <c r="B1254" s="8" t="s">
        <v>4124</v>
      </c>
      <c r="C1254" s="8" t="n">
        <v>2017</v>
      </c>
      <c r="D1254" s="8" t="s">
        <v>58</v>
      </c>
      <c r="E1254" s="8"/>
      <c r="F1254" s="8" t="s">
        <v>782</v>
      </c>
      <c r="G1254" s="8" t="s">
        <v>783</v>
      </c>
      <c r="H1254" s="8" t="s">
        <v>784</v>
      </c>
    </row>
    <row r="1255" customFormat="false" ht="15" hidden="false" customHeight="false" outlineLevel="0" collapsed="false">
      <c r="A1255" s="8" t="s">
        <v>4125</v>
      </c>
      <c r="B1255" s="8" t="s">
        <v>4126</v>
      </c>
      <c r="C1255" s="8" t="n">
        <v>2011</v>
      </c>
      <c r="D1255" s="8" t="s">
        <v>58</v>
      </c>
      <c r="E1255" s="8" t="s">
        <v>4127</v>
      </c>
      <c r="F1255" s="8" t="s">
        <v>782</v>
      </c>
      <c r="G1255" s="8" t="s">
        <v>783</v>
      </c>
      <c r="H1255" s="8" t="s">
        <v>784</v>
      </c>
    </row>
    <row r="1256" customFormat="false" ht="15" hidden="false" customHeight="false" outlineLevel="0" collapsed="false">
      <c r="A1256" s="8" t="s">
        <v>4128</v>
      </c>
      <c r="B1256" s="8" t="s">
        <v>4129</v>
      </c>
      <c r="C1256" s="8" t="n">
        <v>2015</v>
      </c>
      <c r="D1256" s="8" t="s">
        <v>83</v>
      </c>
      <c r="E1256" s="8" t="s">
        <v>4130</v>
      </c>
      <c r="F1256" s="8" t="s">
        <v>782</v>
      </c>
      <c r="G1256" s="8" t="s">
        <v>783</v>
      </c>
      <c r="H1256" s="8" t="s">
        <v>784</v>
      </c>
    </row>
    <row r="1257" customFormat="false" ht="15" hidden="false" customHeight="false" outlineLevel="0" collapsed="false">
      <c r="A1257" s="8" t="s">
        <v>4131</v>
      </c>
      <c r="B1257" s="8" t="s">
        <v>4132</v>
      </c>
      <c r="C1257" s="8" t="n">
        <v>2012</v>
      </c>
      <c r="D1257" s="8" t="s">
        <v>58</v>
      </c>
      <c r="E1257" s="8" t="s">
        <v>4133</v>
      </c>
      <c r="F1257" s="8" t="s">
        <v>782</v>
      </c>
      <c r="G1257" s="8" t="s">
        <v>895</v>
      </c>
      <c r="H1257" s="8" t="s">
        <v>896</v>
      </c>
    </row>
    <row r="1258" customFormat="false" ht="15" hidden="false" customHeight="false" outlineLevel="0" collapsed="false">
      <c r="A1258" s="8" t="s">
        <v>4134</v>
      </c>
      <c r="B1258" s="8" t="s">
        <v>4135</v>
      </c>
      <c r="C1258" s="8" t="n">
        <v>2013</v>
      </c>
      <c r="D1258" s="8" t="s">
        <v>58</v>
      </c>
      <c r="E1258" s="8" t="s">
        <v>4136</v>
      </c>
      <c r="F1258" s="8" t="s">
        <v>782</v>
      </c>
      <c r="G1258" s="8" t="s">
        <v>783</v>
      </c>
      <c r="H1258" s="8" t="s">
        <v>784</v>
      </c>
    </row>
    <row r="1259" customFormat="false" ht="15" hidden="false" customHeight="false" outlineLevel="0" collapsed="false">
      <c r="A1259" s="8" t="s">
        <v>4137</v>
      </c>
      <c r="B1259" s="8" t="s">
        <v>4138</v>
      </c>
      <c r="C1259" s="8" t="n">
        <v>2017</v>
      </c>
      <c r="D1259" s="8" t="s">
        <v>58</v>
      </c>
      <c r="E1259" s="8" t="s">
        <v>4139</v>
      </c>
      <c r="F1259" s="8" t="s">
        <v>782</v>
      </c>
      <c r="G1259" s="8" t="s">
        <v>783</v>
      </c>
      <c r="H1259" s="8" t="s">
        <v>861</v>
      </c>
    </row>
    <row r="1260" customFormat="false" ht="15" hidden="false" customHeight="false" outlineLevel="0" collapsed="false">
      <c r="A1260" s="8" t="s">
        <v>4140</v>
      </c>
      <c r="B1260" s="8" t="s">
        <v>4141</v>
      </c>
      <c r="C1260" s="8" t="n">
        <v>2011</v>
      </c>
      <c r="D1260" s="8" t="s">
        <v>58</v>
      </c>
      <c r="E1260" s="8" t="s">
        <v>4142</v>
      </c>
      <c r="F1260" s="8" t="s">
        <v>782</v>
      </c>
      <c r="G1260" s="8" t="s">
        <v>801</v>
      </c>
      <c r="H1260" s="8" t="s">
        <v>802</v>
      </c>
    </row>
    <row r="1261" customFormat="false" ht="15" hidden="false" customHeight="false" outlineLevel="0" collapsed="false">
      <c r="A1261" s="8" t="s">
        <v>4143</v>
      </c>
      <c r="B1261" s="8" t="s">
        <v>4144</v>
      </c>
      <c r="C1261" s="8" t="n">
        <v>2012</v>
      </c>
      <c r="D1261" s="8" t="s">
        <v>58</v>
      </c>
      <c r="E1261" s="8" t="s">
        <v>4145</v>
      </c>
      <c r="F1261" s="8" t="s">
        <v>782</v>
      </c>
      <c r="G1261" s="8" t="s">
        <v>783</v>
      </c>
      <c r="H1261" s="8" t="s">
        <v>784</v>
      </c>
    </row>
    <row r="1262" customFormat="false" ht="15" hidden="false" customHeight="false" outlineLevel="0" collapsed="false">
      <c r="A1262" s="8" t="s">
        <v>638</v>
      </c>
      <c r="B1262" s="8" t="s">
        <v>640</v>
      </c>
      <c r="C1262" s="8" t="n">
        <v>2018</v>
      </c>
      <c r="D1262" s="8" t="s">
        <v>58</v>
      </c>
      <c r="E1262" s="8" t="s">
        <v>641</v>
      </c>
      <c r="F1262" s="8" t="s">
        <v>852</v>
      </c>
      <c r="G1262" s="8" t="s">
        <v>853</v>
      </c>
      <c r="H1262" s="8" t="s">
        <v>854</v>
      </c>
    </row>
    <row r="1263" customFormat="false" ht="15" hidden="false" customHeight="false" outlineLevel="0" collapsed="false">
      <c r="A1263" s="8" t="s">
        <v>4146</v>
      </c>
      <c r="B1263" s="8" t="s">
        <v>4147</v>
      </c>
      <c r="C1263" s="8" t="n">
        <v>2016</v>
      </c>
      <c r="D1263" s="8" t="s">
        <v>58</v>
      </c>
      <c r="E1263" s="8" t="s">
        <v>4148</v>
      </c>
      <c r="F1263" s="8" t="s">
        <v>782</v>
      </c>
      <c r="G1263" s="8" t="s">
        <v>783</v>
      </c>
      <c r="H1263" s="8" t="s">
        <v>784</v>
      </c>
    </row>
    <row r="1264" customFormat="false" ht="15" hidden="false" customHeight="false" outlineLevel="0" collapsed="false">
      <c r="A1264" s="8" t="s">
        <v>4149</v>
      </c>
      <c r="B1264" s="8" t="s">
        <v>4150</v>
      </c>
      <c r="C1264" s="8" t="n">
        <v>2016</v>
      </c>
      <c r="D1264" s="8" t="s">
        <v>58</v>
      </c>
      <c r="E1264" s="8" t="s">
        <v>4151</v>
      </c>
      <c r="F1264" s="8" t="s">
        <v>782</v>
      </c>
      <c r="G1264" s="8" t="s">
        <v>783</v>
      </c>
      <c r="H1264" s="8" t="s">
        <v>784</v>
      </c>
    </row>
    <row r="1265" customFormat="false" ht="15" hidden="false" customHeight="false" outlineLevel="0" collapsed="false">
      <c r="A1265" s="8" t="s">
        <v>4152</v>
      </c>
      <c r="B1265" s="8" t="s">
        <v>4153</v>
      </c>
      <c r="C1265" s="8" t="n">
        <v>2015</v>
      </c>
      <c r="D1265" s="8" t="s">
        <v>58</v>
      </c>
      <c r="E1265" s="8" t="s">
        <v>4154</v>
      </c>
      <c r="F1265" s="8" t="s">
        <v>782</v>
      </c>
      <c r="G1265" s="8" t="s">
        <v>783</v>
      </c>
      <c r="H1265" s="8" t="s">
        <v>784</v>
      </c>
    </row>
    <row r="1266" customFormat="false" ht="15" hidden="false" customHeight="false" outlineLevel="0" collapsed="false">
      <c r="A1266" s="8" t="s">
        <v>4155</v>
      </c>
      <c r="B1266" s="8" t="s">
        <v>4156</v>
      </c>
      <c r="C1266" s="8" t="n">
        <v>2010</v>
      </c>
      <c r="D1266" s="8" t="s">
        <v>58</v>
      </c>
      <c r="E1266" s="8" t="s">
        <v>4157</v>
      </c>
      <c r="F1266" s="8" t="s">
        <v>782</v>
      </c>
      <c r="G1266" s="8" t="s">
        <v>783</v>
      </c>
      <c r="H1266" s="8" t="s">
        <v>861</v>
      </c>
    </row>
    <row r="1267" customFormat="false" ht="15" hidden="false" customHeight="false" outlineLevel="0" collapsed="false">
      <c r="A1267" s="8" t="s">
        <v>4158</v>
      </c>
      <c r="B1267" s="8" t="s">
        <v>4159</v>
      </c>
      <c r="C1267" s="8" t="n">
        <v>2019</v>
      </c>
      <c r="D1267" s="8" t="s">
        <v>58</v>
      </c>
      <c r="E1267" s="8" t="s">
        <v>4160</v>
      </c>
      <c r="F1267" s="8" t="s">
        <v>782</v>
      </c>
      <c r="G1267" s="8" t="s">
        <v>801</v>
      </c>
      <c r="H1267" s="8" t="s">
        <v>915</v>
      </c>
    </row>
    <row r="1268" customFormat="false" ht="15" hidden="false" customHeight="false" outlineLevel="0" collapsed="false">
      <c r="A1268" s="8" t="s">
        <v>4161</v>
      </c>
      <c r="B1268" s="8" t="s">
        <v>4162</v>
      </c>
      <c r="C1268" s="8" t="n">
        <v>2012</v>
      </c>
      <c r="D1268" s="8" t="s">
        <v>83</v>
      </c>
      <c r="E1268" s="8" t="s">
        <v>4163</v>
      </c>
      <c r="F1268" s="8" t="s">
        <v>782</v>
      </c>
      <c r="G1268" s="8" t="s">
        <v>801</v>
      </c>
      <c r="H1268" s="8" t="s">
        <v>915</v>
      </c>
    </row>
    <row r="1269" customFormat="false" ht="15" hidden="false" customHeight="false" outlineLevel="0" collapsed="false">
      <c r="A1269" s="8" t="s">
        <v>4164</v>
      </c>
      <c r="B1269" s="8" t="s">
        <v>4165</v>
      </c>
      <c r="C1269" s="8" t="n">
        <v>2017</v>
      </c>
      <c r="D1269" s="8" t="s">
        <v>58</v>
      </c>
      <c r="E1269" s="8" t="s">
        <v>4166</v>
      </c>
      <c r="F1269" s="8" t="s">
        <v>782</v>
      </c>
      <c r="G1269" s="8" t="s">
        <v>783</v>
      </c>
      <c r="H1269" s="8" t="s">
        <v>784</v>
      </c>
    </row>
    <row r="1270" customFormat="false" ht="15" hidden="false" customHeight="false" outlineLevel="0" collapsed="false">
      <c r="A1270" s="8" t="s">
        <v>4167</v>
      </c>
      <c r="B1270" s="8" t="s">
        <v>4168</v>
      </c>
      <c r="C1270" s="8" t="n">
        <v>2014</v>
      </c>
      <c r="D1270" s="8" t="s">
        <v>58</v>
      </c>
      <c r="E1270" s="8" t="s">
        <v>4169</v>
      </c>
      <c r="F1270" s="8" t="s">
        <v>782</v>
      </c>
      <c r="G1270" s="8" t="s">
        <v>783</v>
      </c>
      <c r="H1270" s="8" t="s">
        <v>784</v>
      </c>
    </row>
    <row r="1271" customFormat="false" ht="15" hidden="false" customHeight="false" outlineLevel="0" collapsed="false">
      <c r="A1271" s="8" t="s">
        <v>4170</v>
      </c>
      <c r="B1271" s="8" t="s">
        <v>4171</v>
      </c>
      <c r="C1271" s="8" t="n">
        <v>2015</v>
      </c>
      <c r="D1271" s="8" t="s">
        <v>58</v>
      </c>
      <c r="E1271" s="8" t="s">
        <v>4172</v>
      </c>
      <c r="F1271" s="8" t="s">
        <v>782</v>
      </c>
      <c r="G1271" s="8" t="s">
        <v>783</v>
      </c>
      <c r="H1271" s="8" t="s">
        <v>784</v>
      </c>
    </row>
    <row r="1272" customFormat="false" ht="15" hidden="false" customHeight="false" outlineLevel="0" collapsed="false">
      <c r="A1272" s="8" t="s">
        <v>4173</v>
      </c>
      <c r="B1272" s="8" t="s">
        <v>4174</v>
      </c>
      <c r="C1272" s="8" t="n">
        <v>2010</v>
      </c>
      <c r="D1272" s="8" t="s">
        <v>58</v>
      </c>
      <c r="E1272" s="8" t="s">
        <v>4175</v>
      </c>
      <c r="F1272" s="8" t="s">
        <v>782</v>
      </c>
      <c r="G1272" s="8" t="s">
        <v>801</v>
      </c>
      <c r="H1272" s="8" t="s">
        <v>915</v>
      </c>
    </row>
    <row r="1273" customFormat="false" ht="15" hidden="false" customHeight="false" outlineLevel="0" collapsed="false">
      <c r="A1273" s="8" t="s">
        <v>4176</v>
      </c>
      <c r="B1273" s="8" t="s">
        <v>4177</v>
      </c>
      <c r="C1273" s="8" t="n">
        <v>2010</v>
      </c>
      <c r="D1273" s="8" t="s">
        <v>58</v>
      </c>
      <c r="E1273" s="8" t="s">
        <v>4178</v>
      </c>
      <c r="F1273" s="8" t="s">
        <v>782</v>
      </c>
      <c r="G1273" s="8" t="s">
        <v>801</v>
      </c>
      <c r="H1273" s="8" t="s">
        <v>915</v>
      </c>
    </row>
    <row r="1274" customFormat="false" ht="15" hidden="false" customHeight="false" outlineLevel="0" collapsed="false">
      <c r="A1274" s="8" t="s">
        <v>724</v>
      </c>
      <c r="B1274" s="8" t="s">
        <v>726</v>
      </c>
      <c r="C1274" s="8" t="n">
        <v>2014</v>
      </c>
      <c r="D1274" s="8" t="s">
        <v>58</v>
      </c>
      <c r="E1274" s="8" t="s">
        <v>728</v>
      </c>
      <c r="F1274" s="8" t="s">
        <v>852</v>
      </c>
      <c r="G1274" s="8" t="s">
        <v>853</v>
      </c>
      <c r="H1274" s="8" t="s">
        <v>854</v>
      </c>
    </row>
    <row r="1275" customFormat="false" ht="15" hidden="false" customHeight="false" outlineLevel="0" collapsed="false">
      <c r="A1275" s="8" t="s">
        <v>4179</v>
      </c>
      <c r="B1275" s="8" t="s">
        <v>4180</v>
      </c>
      <c r="C1275" s="8" t="n">
        <v>2010</v>
      </c>
      <c r="D1275" s="8" t="s">
        <v>83</v>
      </c>
      <c r="E1275" s="8"/>
      <c r="F1275" s="8" t="s">
        <v>782</v>
      </c>
      <c r="G1275" s="8" t="s">
        <v>801</v>
      </c>
      <c r="H1275" s="8" t="s">
        <v>915</v>
      </c>
    </row>
    <row r="1276" customFormat="false" ht="15" hidden="false" customHeight="false" outlineLevel="0" collapsed="false">
      <c r="A1276" s="8" t="s">
        <v>4181</v>
      </c>
      <c r="B1276" s="8" t="s">
        <v>4182</v>
      </c>
      <c r="C1276" s="8" t="n">
        <v>2016</v>
      </c>
      <c r="D1276" s="8" t="s">
        <v>58</v>
      </c>
      <c r="E1276" s="8" t="s">
        <v>4183</v>
      </c>
      <c r="F1276" s="8" t="s">
        <v>782</v>
      </c>
      <c r="G1276" s="8" t="s">
        <v>783</v>
      </c>
      <c r="H1276" s="8" t="s">
        <v>861</v>
      </c>
    </row>
    <row r="1277" customFormat="false" ht="15" hidden="false" customHeight="false" outlineLevel="0" collapsed="false">
      <c r="A1277" s="8" t="s">
        <v>4184</v>
      </c>
      <c r="B1277" s="8" t="s">
        <v>4185</v>
      </c>
      <c r="C1277" s="8" t="n">
        <v>2016</v>
      </c>
      <c r="D1277" s="8" t="s">
        <v>58</v>
      </c>
      <c r="E1277" s="8" t="s">
        <v>4186</v>
      </c>
      <c r="F1277" s="8" t="s">
        <v>782</v>
      </c>
      <c r="G1277" s="8" t="s">
        <v>783</v>
      </c>
      <c r="H1277" s="8" t="s">
        <v>784</v>
      </c>
    </row>
    <row r="1278" customFormat="false" ht="15" hidden="false" customHeight="false" outlineLevel="0" collapsed="false">
      <c r="A1278" s="8" t="s">
        <v>4187</v>
      </c>
      <c r="B1278" s="8" t="s">
        <v>4188</v>
      </c>
      <c r="C1278" s="8" t="n">
        <v>2010</v>
      </c>
      <c r="D1278" s="8" t="s">
        <v>83</v>
      </c>
      <c r="E1278" s="8" t="s">
        <v>4189</v>
      </c>
      <c r="F1278" s="8" t="s">
        <v>782</v>
      </c>
      <c r="G1278" s="8" t="s">
        <v>801</v>
      </c>
      <c r="H1278" s="8" t="s">
        <v>915</v>
      </c>
    </row>
    <row r="1279" customFormat="false" ht="15" hidden="false" customHeight="false" outlineLevel="0" collapsed="false">
      <c r="A1279" s="8" t="s">
        <v>4190</v>
      </c>
      <c r="B1279" s="8" t="s">
        <v>4191</v>
      </c>
      <c r="C1279" s="8" t="n">
        <v>2010</v>
      </c>
      <c r="D1279" s="8" t="s">
        <v>58</v>
      </c>
      <c r="E1279" s="8" t="s">
        <v>4192</v>
      </c>
      <c r="F1279" s="8" t="s">
        <v>782</v>
      </c>
      <c r="G1279" s="8" t="s">
        <v>801</v>
      </c>
      <c r="H1279" s="8" t="s">
        <v>915</v>
      </c>
    </row>
    <row r="1280" customFormat="false" ht="15" hidden="false" customHeight="false" outlineLevel="0" collapsed="false">
      <c r="A1280" s="8" t="s">
        <v>4193</v>
      </c>
      <c r="B1280" s="8" t="s">
        <v>4194</v>
      </c>
      <c r="C1280" s="8" t="n">
        <v>2010</v>
      </c>
      <c r="D1280" s="8" t="s">
        <v>58</v>
      </c>
      <c r="E1280" s="8" t="s">
        <v>4195</v>
      </c>
      <c r="F1280" s="8" t="s">
        <v>782</v>
      </c>
      <c r="G1280" s="8" t="s">
        <v>783</v>
      </c>
      <c r="H1280" s="8" t="s">
        <v>861</v>
      </c>
    </row>
    <row r="1281" customFormat="false" ht="15" hidden="false" customHeight="false" outlineLevel="0" collapsed="false">
      <c r="A1281" s="8" t="s">
        <v>4196</v>
      </c>
      <c r="B1281" s="8" t="s">
        <v>4197</v>
      </c>
      <c r="C1281" s="8" t="n">
        <v>2015</v>
      </c>
      <c r="D1281" s="8" t="s">
        <v>83</v>
      </c>
      <c r="E1281" s="8" t="s">
        <v>4198</v>
      </c>
      <c r="F1281" s="8" t="s">
        <v>782</v>
      </c>
      <c r="G1281" s="8" t="s">
        <v>783</v>
      </c>
      <c r="H1281" s="8" t="s">
        <v>784</v>
      </c>
    </row>
    <row r="1282" customFormat="false" ht="15" hidden="false" customHeight="false" outlineLevel="0" collapsed="false">
      <c r="A1282" s="8" t="s">
        <v>4199</v>
      </c>
      <c r="B1282" s="8" t="s">
        <v>4200</v>
      </c>
      <c r="C1282" s="8" t="n">
        <v>2019</v>
      </c>
      <c r="D1282" s="8" t="s">
        <v>83</v>
      </c>
      <c r="E1282" s="8" t="s">
        <v>4201</v>
      </c>
      <c r="F1282" s="8" t="s">
        <v>782</v>
      </c>
      <c r="G1282" s="8" t="s">
        <v>801</v>
      </c>
      <c r="H1282" s="8" t="s">
        <v>915</v>
      </c>
    </row>
    <row r="1283" customFormat="false" ht="15" hidden="false" customHeight="false" outlineLevel="0" collapsed="false">
      <c r="A1283" s="8" t="s">
        <v>4202</v>
      </c>
      <c r="B1283" s="8" t="s">
        <v>4203</v>
      </c>
      <c r="C1283" s="8" t="n">
        <v>2018</v>
      </c>
      <c r="D1283" s="8" t="s">
        <v>58</v>
      </c>
      <c r="E1283" s="8" t="s">
        <v>4204</v>
      </c>
      <c r="F1283" s="8" t="s">
        <v>782</v>
      </c>
      <c r="G1283" s="8" t="s">
        <v>783</v>
      </c>
      <c r="H1283" s="8" t="s">
        <v>784</v>
      </c>
    </row>
    <row r="1284" customFormat="false" ht="15" hidden="false" customHeight="false" outlineLevel="0" collapsed="false">
      <c r="A1284" s="8" t="s">
        <v>4205</v>
      </c>
      <c r="B1284" s="8" t="s">
        <v>4206</v>
      </c>
      <c r="C1284" s="8" t="n">
        <v>2013</v>
      </c>
      <c r="D1284" s="8" t="s">
        <v>58</v>
      </c>
      <c r="E1284" s="8"/>
      <c r="F1284" s="8" t="s">
        <v>782</v>
      </c>
      <c r="G1284" s="8" t="s">
        <v>783</v>
      </c>
      <c r="H1284" s="8" t="s">
        <v>784</v>
      </c>
    </row>
    <row r="1285" customFormat="false" ht="15" hidden="false" customHeight="false" outlineLevel="0" collapsed="false">
      <c r="A1285" s="8" t="s">
        <v>4207</v>
      </c>
      <c r="B1285" s="8" t="s">
        <v>4208</v>
      </c>
      <c r="C1285" s="8" t="n">
        <v>2016</v>
      </c>
      <c r="D1285" s="8" t="s">
        <v>970</v>
      </c>
      <c r="E1285" s="8" t="s">
        <v>4209</v>
      </c>
      <c r="F1285" s="8" t="s">
        <v>782</v>
      </c>
      <c r="G1285" s="8" t="s">
        <v>972</v>
      </c>
      <c r="H1285" s="8" t="s">
        <v>973</v>
      </c>
    </row>
    <row r="1286" customFormat="false" ht="15" hidden="false" customHeight="false" outlineLevel="0" collapsed="false">
      <c r="A1286" s="8" t="s">
        <v>4210</v>
      </c>
      <c r="B1286" s="8" t="s">
        <v>4211</v>
      </c>
      <c r="C1286" s="8" t="n">
        <v>2017</v>
      </c>
      <c r="D1286" s="8" t="s">
        <v>58</v>
      </c>
      <c r="E1286" s="8"/>
      <c r="F1286" s="8" t="s">
        <v>782</v>
      </c>
      <c r="G1286" s="8" t="s">
        <v>783</v>
      </c>
      <c r="H1286" s="8" t="s">
        <v>784</v>
      </c>
    </row>
    <row r="1287" customFormat="false" ht="15" hidden="false" customHeight="false" outlineLevel="0" collapsed="false">
      <c r="A1287" s="8" t="s">
        <v>4212</v>
      </c>
      <c r="B1287" s="8" t="s">
        <v>4213</v>
      </c>
      <c r="C1287" s="8" t="n">
        <v>2015</v>
      </c>
      <c r="D1287" s="8" t="s">
        <v>58</v>
      </c>
      <c r="E1287" s="8"/>
      <c r="F1287" s="8" t="s">
        <v>782</v>
      </c>
      <c r="G1287" s="8" t="s">
        <v>783</v>
      </c>
      <c r="H1287" s="8" t="s">
        <v>784</v>
      </c>
    </row>
    <row r="1288" customFormat="false" ht="15" hidden="false" customHeight="false" outlineLevel="0" collapsed="false">
      <c r="A1288" s="8" t="s">
        <v>4214</v>
      </c>
      <c r="B1288" s="8" t="s">
        <v>4215</v>
      </c>
      <c r="C1288" s="8" t="n">
        <v>2012</v>
      </c>
      <c r="D1288" s="8" t="s">
        <v>58</v>
      </c>
      <c r="E1288" s="8" t="s">
        <v>4216</v>
      </c>
      <c r="F1288" s="8" t="s">
        <v>782</v>
      </c>
      <c r="G1288" s="8" t="s">
        <v>783</v>
      </c>
      <c r="H1288" s="8" t="s">
        <v>784</v>
      </c>
    </row>
    <row r="1289" customFormat="false" ht="15" hidden="false" customHeight="false" outlineLevel="0" collapsed="false">
      <c r="A1289" s="8" t="s">
        <v>4217</v>
      </c>
      <c r="B1289" s="8" t="s">
        <v>4218</v>
      </c>
      <c r="C1289" s="8" t="n">
        <v>2018</v>
      </c>
      <c r="D1289" s="8" t="s">
        <v>58</v>
      </c>
      <c r="E1289" s="8" t="s">
        <v>4219</v>
      </c>
      <c r="F1289" s="8" t="s">
        <v>782</v>
      </c>
      <c r="G1289" s="8" t="s">
        <v>783</v>
      </c>
      <c r="H1289" s="8" t="s">
        <v>784</v>
      </c>
    </row>
    <row r="1290" customFormat="false" ht="15" hidden="false" customHeight="false" outlineLevel="0" collapsed="false">
      <c r="A1290" s="8" t="s">
        <v>4220</v>
      </c>
      <c r="B1290" s="8" t="s">
        <v>4221</v>
      </c>
      <c r="C1290" s="8" t="n">
        <v>2018</v>
      </c>
      <c r="D1290" s="8" t="s">
        <v>58</v>
      </c>
      <c r="E1290" s="8" t="s">
        <v>4222</v>
      </c>
      <c r="F1290" s="8" t="s">
        <v>782</v>
      </c>
      <c r="G1290" s="8" t="s">
        <v>783</v>
      </c>
      <c r="H1290" s="8" t="s">
        <v>784</v>
      </c>
    </row>
    <row r="1291" customFormat="false" ht="15" hidden="false" customHeight="false" outlineLevel="0" collapsed="false">
      <c r="A1291" s="8" t="s">
        <v>672</v>
      </c>
      <c r="B1291" s="8" t="s">
        <v>674</v>
      </c>
      <c r="C1291" s="8" t="n">
        <v>2017</v>
      </c>
      <c r="D1291" s="8" t="s">
        <v>83</v>
      </c>
      <c r="E1291" s="8" t="s">
        <v>675</v>
      </c>
      <c r="F1291" s="8" t="s">
        <v>852</v>
      </c>
      <c r="G1291" s="8" t="s">
        <v>853</v>
      </c>
      <c r="H1291" s="8" t="s">
        <v>854</v>
      </c>
    </row>
    <row r="1292" customFormat="false" ht="15" hidden="false" customHeight="false" outlineLevel="0" collapsed="false">
      <c r="A1292" s="8" t="s">
        <v>4223</v>
      </c>
      <c r="B1292" s="8" t="s">
        <v>4224</v>
      </c>
      <c r="C1292" s="8" t="n">
        <v>2015</v>
      </c>
      <c r="D1292" s="8" t="s">
        <v>58</v>
      </c>
      <c r="E1292" s="8" t="s">
        <v>4225</v>
      </c>
      <c r="F1292" s="8" t="s">
        <v>782</v>
      </c>
      <c r="G1292" s="8" t="s">
        <v>783</v>
      </c>
      <c r="H1292" s="8" t="s">
        <v>861</v>
      </c>
    </row>
    <row r="1293" customFormat="false" ht="15" hidden="false" customHeight="false" outlineLevel="0" collapsed="false">
      <c r="A1293" s="8" t="s">
        <v>4226</v>
      </c>
      <c r="B1293" s="8" t="s">
        <v>4227</v>
      </c>
      <c r="C1293" s="8" t="n">
        <v>2019</v>
      </c>
      <c r="D1293" s="8" t="s">
        <v>58</v>
      </c>
      <c r="E1293" s="8" t="s">
        <v>4228</v>
      </c>
      <c r="F1293" s="8" t="s">
        <v>782</v>
      </c>
      <c r="G1293" s="8" t="s">
        <v>783</v>
      </c>
      <c r="H1293" s="8" t="s">
        <v>784</v>
      </c>
    </row>
    <row r="1294" customFormat="false" ht="15" hidden="false" customHeight="false" outlineLevel="0" collapsed="false">
      <c r="A1294" s="8" t="s">
        <v>4229</v>
      </c>
      <c r="B1294" s="8" t="s">
        <v>4230</v>
      </c>
      <c r="C1294" s="8" t="n">
        <v>2012</v>
      </c>
      <c r="D1294" s="8" t="s">
        <v>58</v>
      </c>
      <c r="E1294" s="8" t="s">
        <v>4231</v>
      </c>
      <c r="F1294" s="8" t="s">
        <v>782</v>
      </c>
      <c r="G1294" s="8" t="s">
        <v>783</v>
      </c>
      <c r="H1294" s="8" t="s">
        <v>784</v>
      </c>
    </row>
    <row r="1295" customFormat="false" ht="15" hidden="false" customHeight="false" outlineLevel="0" collapsed="false">
      <c r="A1295" s="8" t="s">
        <v>4232</v>
      </c>
      <c r="B1295" s="8" t="s">
        <v>4233</v>
      </c>
      <c r="C1295" s="8" t="n">
        <v>2018</v>
      </c>
      <c r="D1295" s="8" t="s">
        <v>58</v>
      </c>
      <c r="E1295" s="8" t="s">
        <v>4234</v>
      </c>
      <c r="F1295" s="8" t="s">
        <v>782</v>
      </c>
      <c r="G1295" s="8" t="s">
        <v>783</v>
      </c>
      <c r="H1295" s="8" t="s">
        <v>784</v>
      </c>
    </row>
    <row r="1296" customFormat="false" ht="15" hidden="false" customHeight="false" outlineLevel="0" collapsed="false">
      <c r="A1296" s="8" t="s">
        <v>666</v>
      </c>
      <c r="B1296" s="8" t="s">
        <v>668</v>
      </c>
      <c r="C1296" s="8" t="n">
        <v>2017</v>
      </c>
      <c r="D1296" s="8" t="s">
        <v>83</v>
      </c>
      <c r="E1296" s="8" t="s">
        <v>670</v>
      </c>
      <c r="F1296" s="8" t="s">
        <v>852</v>
      </c>
      <c r="G1296" s="8" t="s">
        <v>853</v>
      </c>
      <c r="H1296" s="8" t="s">
        <v>854</v>
      </c>
    </row>
    <row r="1297" customFormat="false" ht="15" hidden="false" customHeight="false" outlineLevel="0" collapsed="false">
      <c r="A1297" s="8" t="s">
        <v>4235</v>
      </c>
      <c r="B1297" s="8" t="s">
        <v>4236</v>
      </c>
      <c r="C1297" s="8" t="n">
        <v>2010</v>
      </c>
      <c r="D1297" s="8" t="s">
        <v>58</v>
      </c>
      <c r="E1297" s="8" t="s">
        <v>4237</v>
      </c>
      <c r="F1297" s="8" t="s">
        <v>782</v>
      </c>
      <c r="G1297" s="8" t="s">
        <v>801</v>
      </c>
      <c r="H1297" s="8" t="s">
        <v>915</v>
      </c>
    </row>
    <row r="1298" customFormat="false" ht="15" hidden="false" customHeight="false" outlineLevel="0" collapsed="false">
      <c r="A1298" s="8" t="s">
        <v>4238</v>
      </c>
      <c r="B1298" s="8" t="s">
        <v>4239</v>
      </c>
      <c r="C1298" s="8" t="n">
        <v>2013</v>
      </c>
      <c r="D1298" s="8" t="s">
        <v>58</v>
      </c>
      <c r="E1298" s="8" t="s">
        <v>4240</v>
      </c>
      <c r="F1298" s="8" t="s">
        <v>782</v>
      </c>
      <c r="G1298" s="8" t="s">
        <v>801</v>
      </c>
      <c r="H1298" s="8" t="s">
        <v>915</v>
      </c>
    </row>
    <row r="1299" customFormat="false" ht="15" hidden="false" customHeight="false" outlineLevel="0" collapsed="false">
      <c r="A1299" s="8" t="s">
        <v>4241</v>
      </c>
      <c r="B1299" s="8" t="s">
        <v>4242</v>
      </c>
      <c r="C1299" s="8" t="n">
        <v>2018</v>
      </c>
      <c r="D1299" s="8" t="s">
        <v>58</v>
      </c>
      <c r="E1299" s="8" t="s">
        <v>4243</v>
      </c>
      <c r="F1299" s="8" t="s">
        <v>782</v>
      </c>
      <c r="G1299" s="8" t="s">
        <v>783</v>
      </c>
      <c r="H1299" s="8" t="s">
        <v>784</v>
      </c>
    </row>
    <row r="1300" customFormat="false" ht="15" hidden="false" customHeight="false" outlineLevel="0" collapsed="false">
      <c r="A1300" s="8" t="s">
        <v>4244</v>
      </c>
      <c r="B1300" s="8" t="s">
        <v>4245</v>
      </c>
      <c r="C1300" s="8" t="n">
        <v>2010</v>
      </c>
      <c r="D1300" s="8" t="s">
        <v>58</v>
      </c>
      <c r="E1300" s="8" t="s">
        <v>4246</v>
      </c>
      <c r="F1300" s="8" t="s">
        <v>782</v>
      </c>
      <c r="G1300" s="8" t="s">
        <v>801</v>
      </c>
      <c r="H1300" s="8" t="s">
        <v>915</v>
      </c>
    </row>
    <row r="1301" customFormat="false" ht="15" hidden="false" customHeight="false" outlineLevel="0" collapsed="false">
      <c r="A1301" s="8" t="s">
        <v>4247</v>
      </c>
      <c r="B1301" s="8" t="s">
        <v>4248</v>
      </c>
      <c r="C1301" s="8" t="n">
        <v>2015</v>
      </c>
      <c r="D1301" s="8" t="s">
        <v>58</v>
      </c>
      <c r="E1301" s="8" t="s">
        <v>4249</v>
      </c>
      <c r="F1301" s="8" t="s">
        <v>782</v>
      </c>
      <c r="G1301" s="8" t="s">
        <v>783</v>
      </c>
      <c r="H1301" s="8" t="s">
        <v>784</v>
      </c>
    </row>
    <row r="1302" customFormat="false" ht="15" hidden="false" customHeight="false" outlineLevel="0" collapsed="false">
      <c r="A1302" s="8" t="s">
        <v>4250</v>
      </c>
      <c r="B1302" s="8" t="s">
        <v>4251</v>
      </c>
      <c r="C1302" s="8" t="n">
        <v>2015</v>
      </c>
      <c r="D1302" s="8" t="s">
        <v>83</v>
      </c>
      <c r="E1302" s="8" t="s">
        <v>4252</v>
      </c>
      <c r="F1302" s="8" t="s">
        <v>782</v>
      </c>
      <c r="G1302" s="8" t="s">
        <v>783</v>
      </c>
      <c r="H1302" s="8" t="s">
        <v>784</v>
      </c>
    </row>
    <row r="1303" customFormat="false" ht="15" hidden="false" customHeight="false" outlineLevel="0" collapsed="false">
      <c r="A1303" s="8" t="s">
        <v>4253</v>
      </c>
      <c r="B1303" s="8" t="s">
        <v>4254</v>
      </c>
      <c r="C1303" s="8" t="n">
        <v>2013</v>
      </c>
      <c r="D1303" s="8" t="s">
        <v>58</v>
      </c>
      <c r="E1303" s="8"/>
      <c r="F1303" s="8" t="s">
        <v>782</v>
      </c>
      <c r="G1303" s="8" t="s">
        <v>783</v>
      </c>
      <c r="H1303" s="8" t="s">
        <v>784</v>
      </c>
    </row>
    <row r="1304" customFormat="false" ht="15" hidden="false" customHeight="false" outlineLevel="0" collapsed="false">
      <c r="A1304" s="8" t="s">
        <v>4255</v>
      </c>
      <c r="B1304" s="8" t="s">
        <v>4256</v>
      </c>
      <c r="C1304" s="8" t="n">
        <v>2018</v>
      </c>
      <c r="D1304" s="8" t="s">
        <v>58</v>
      </c>
      <c r="E1304" s="8" t="s">
        <v>4257</v>
      </c>
      <c r="F1304" s="8" t="s">
        <v>782</v>
      </c>
      <c r="G1304" s="8" t="s">
        <v>783</v>
      </c>
      <c r="H1304" s="8" t="s">
        <v>784</v>
      </c>
    </row>
    <row r="1305" customFormat="false" ht="15" hidden="false" customHeight="false" outlineLevel="0" collapsed="false">
      <c r="A1305" s="8" t="s">
        <v>4258</v>
      </c>
      <c r="B1305" s="8" t="s">
        <v>4259</v>
      </c>
      <c r="C1305" s="8" t="n">
        <v>2012</v>
      </c>
      <c r="D1305" s="8" t="s">
        <v>83</v>
      </c>
      <c r="E1305" s="8" t="s">
        <v>4260</v>
      </c>
      <c r="F1305" s="8" t="s">
        <v>782</v>
      </c>
      <c r="G1305" s="8" t="s">
        <v>783</v>
      </c>
      <c r="H1305" s="8" t="s">
        <v>784</v>
      </c>
    </row>
    <row r="1306" customFormat="false" ht="15" hidden="false" customHeight="false" outlineLevel="0" collapsed="false">
      <c r="A1306" s="8" t="s">
        <v>4261</v>
      </c>
      <c r="B1306" s="8" t="s">
        <v>4262</v>
      </c>
      <c r="C1306" s="8" t="n">
        <v>2018</v>
      </c>
      <c r="D1306" s="8" t="s">
        <v>58</v>
      </c>
      <c r="E1306" s="8" t="s">
        <v>4263</v>
      </c>
      <c r="F1306" s="8" t="s">
        <v>782</v>
      </c>
      <c r="G1306" s="8" t="s">
        <v>783</v>
      </c>
      <c r="H1306" s="8" t="s">
        <v>784</v>
      </c>
    </row>
    <row r="1307" customFormat="false" ht="15" hidden="false" customHeight="false" outlineLevel="0" collapsed="false">
      <c r="A1307" s="8" t="s">
        <v>4264</v>
      </c>
      <c r="B1307" s="8" t="s">
        <v>4265</v>
      </c>
      <c r="C1307" s="8" t="n">
        <v>2018</v>
      </c>
      <c r="D1307" s="8" t="s">
        <v>58</v>
      </c>
      <c r="E1307" s="8" t="s">
        <v>4266</v>
      </c>
      <c r="F1307" s="8" t="s">
        <v>782</v>
      </c>
      <c r="G1307" s="8" t="s">
        <v>783</v>
      </c>
      <c r="H1307" s="8" t="s">
        <v>861</v>
      </c>
    </row>
    <row r="1308" customFormat="false" ht="15" hidden="false" customHeight="false" outlineLevel="0" collapsed="false">
      <c r="A1308" s="8" t="s">
        <v>4267</v>
      </c>
      <c r="B1308" s="8" t="s">
        <v>4268</v>
      </c>
      <c r="C1308" s="8" t="n">
        <v>2012</v>
      </c>
      <c r="D1308" s="8" t="s">
        <v>83</v>
      </c>
      <c r="E1308" s="8" t="s">
        <v>4269</v>
      </c>
      <c r="F1308" s="8" t="s">
        <v>782</v>
      </c>
      <c r="G1308" s="8" t="s">
        <v>783</v>
      </c>
      <c r="H1308" s="8" t="s">
        <v>784</v>
      </c>
    </row>
    <row r="1309" customFormat="false" ht="15" hidden="false" customHeight="false" outlineLevel="0" collapsed="false">
      <c r="A1309" s="8" t="s">
        <v>4270</v>
      </c>
      <c r="B1309" s="8" t="s">
        <v>4271</v>
      </c>
      <c r="C1309" s="8" t="n">
        <v>2010</v>
      </c>
      <c r="D1309" s="8" t="s">
        <v>83</v>
      </c>
      <c r="E1309" s="8" t="s">
        <v>4272</v>
      </c>
      <c r="F1309" s="8" t="s">
        <v>782</v>
      </c>
      <c r="G1309" s="8" t="s">
        <v>801</v>
      </c>
      <c r="H1309" s="8" t="s">
        <v>915</v>
      </c>
    </row>
    <row r="1310" customFormat="false" ht="15" hidden="false" customHeight="false" outlineLevel="0" collapsed="false">
      <c r="A1310" s="8" t="s">
        <v>4273</v>
      </c>
      <c r="B1310" s="8" t="s">
        <v>4274</v>
      </c>
      <c r="C1310" s="8" t="n">
        <v>2016</v>
      </c>
      <c r="D1310" s="8" t="s">
        <v>58</v>
      </c>
      <c r="E1310" s="8" t="s">
        <v>4275</v>
      </c>
      <c r="F1310" s="8" t="s">
        <v>782</v>
      </c>
      <c r="G1310" s="8" t="s">
        <v>783</v>
      </c>
      <c r="H1310" s="8" t="s">
        <v>784</v>
      </c>
    </row>
    <row r="1311" customFormat="false" ht="15" hidden="false" customHeight="false" outlineLevel="0" collapsed="false">
      <c r="A1311" s="8" t="s">
        <v>4276</v>
      </c>
      <c r="B1311" s="8" t="s">
        <v>4277</v>
      </c>
      <c r="C1311" s="8" t="n">
        <v>2011</v>
      </c>
      <c r="D1311" s="8" t="s">
        <v>58</v>
      </c>
      <c r="E1311" s="8" t="s">
        <v>4278</v>
      </c>
      <c r="F1311" s="8" t="s">
        <v>782</v>
      </c>
      <c r="G1311" s="8" t="s">
        <v>783</v>
      </c>
      <c r="H1311" s="8" t="s">
        <v>784</v>
      </c>
    </row>
    <row r="1312" customFormat="false" ht="15" hidden="false" customHeight="false" outlineLevel="0" collapsed="false">
      <c r="A1312" s="8" t="s">
        <v>4279</v>
      </c>
      <c r="B1312" s="8" t="s">
        <v>4280</v>
      </c>
      <c r="C1312" s="8" t="n">
        <v>2016</v>
      </c>
      <c r="D1312" s="8" t="s">
        <v>58</v>
      </c>
      <c r="E1312" s="8" t="s">
        <v>4281</v>
      </c>
      <c r="F1312" s="8" t="s">
        <v>782</v>
      </c>
      <c r="G1312" s="8" t="s">
        <v>821</v>
      </c>
      <c r="H1312" s="8" t="s">
        <v>822</v>
      </c>
    </row>
    <row r="1313" customFormat="false" ht="15" hidden="false" customHeight="false" outlineLevel="0" collapsed="false">
      <c r="A1313" s="8" t="s">
        <v>758</v>
      </c>
      <c r="B1313" s="8" t="s">
        <v>760</v>
      </c>
      <c r="C1313" s="8" t="n">
        <v>2011</v>
      </c>
      <c r="D1313" s="8" t="s">
        <v>58</v>
      </c>
      <c r="E1313" s="8" t="s">
        <v>762</v>
      </c>
      <c r="F1313" s="8" t="s">
        <v>852</v>
      </c>
      <c r="G1313" s="8" t="s">
        <v>853</v>
      </c>
      <c r="H1313" s="8" t="s">
        <v>854</v>
      </c>
    </row>
    <row r="1314" customFormat="false" ht="15" hidden="false" customHeight="false" outlineLevel="0" collapsed="false">
      <c r="A1314" s="8" t="s">
        <v>4282</v>
      </c>
      <c r="B1314" s="8" t="s">
        <v>4283</v>
      </c>
      <c r="C1314" s="8" t="n">
        <v>2015</v>
      </c>
      <c r="D1314" s="8" t="s">
        <v>970</v>
      </c>
      <c r="E1314" s="8" t="s">
        <v>4284</v>
      </c>
      <c r="F1314" s="8" t="s">
        <v>782</v>
      </c>
      <c r="G1314" s="8" t="s">
        <v>972</v>
      </c>
      <c r="H1314" s="8" t="s">
        <v>973</v>
      </c>
    </row>
    <row r="1315" customFormat="false" ht="15" hidden="false" customHeight="false" outlineLevel="0" collapsed="false">
      <c r="A1315" s="8" t="s">
        <v>4285</v>
      </c>
      <c r="B1315" s="8" t="s">
        <v>4286</v>
      </c>
      <c r="C1315" s="8" t="n">
        <v>2010</v>
      </c>
      <c r="D1315" s="8" t="s">
        <v>83</v>
      </c>
      <c r="E1315" s="8" t="s">
        <v>4287</v>
      </c>
      <c r="F1315" s="8" t="s">
        <v>782</v>
      </c>
      <c r="G1315" s="8" t="s">
        <v>801</v>
      </c>
      <c r="H1315" s="8" t="s">
        <v>915</v>
      </c>
    </row>
    <row r="1316" customFormat="false" ht="15" hidden="false" customHeight="false" outlineLevel="0" collapsed="false">
      <c r="A1316" s="8" t="s">
        <v>4288</v>
      </c>
      <c r="B1316" s="8" t="s">
        <v>4289</v>
      </c>
      <c r="C1316" s="8" t="n">
        <v>2015</v>
      </c>
      <c r="D1316" s="8" t="s">
        <v>58</v>
      </c>
      <c r="E1316" s="8"/>
      <c r="F1316" s="8" t="s">
        <v>782</v>
      </c>
      <c r="G1316" s="8" t="s">
        <v>783</v>
      </c>
      <c r="H1316" s="8" t="s">
        <v>784</v>
      </c>
    </row>
    <row r="1317" customFormat="false" ht="15" hidden="false" customHeight="false" outlineLevel="0" collapsed="false">
      <c r="A1317" s="8" t="s">
        <v>4290</v>
      </c>
      <c r="B1317" s="8" t="s">
        <v>4291</v>
      </c>
      <c r="C1317" s="8" t="n">
        <v>2010</v>
      </c>
      <c r="D1317" s="8" t="s">
        <v>58</v>
      </c>
      <c r="E1317" s="8" t="s">
        <v>4292</v>
      </c>
      <c r="F1317" s="8" t="s">
        <v>782</v>
      </c>
      <c r="G1317" s="8" t="s">
        <v>783</v>
      </c>
      <c r="H1317" s="8" t="s">
        <v>784</v>
      </c>
    </row>
    <row r="1318" customFormat="false" ht="15" hidden="false" customHeight="false" outlineLevel="0" collapsed="false">
      <c r="A1318" s="8" t="s">
        <v>4293</v>
      </c>
      <c r="B1318" s="8" t="s">
        <v>4294</v>
      </c>
      <c r="C1318" s="8" t="n">
        <v>2010</v>
      </c>
      <c r="D1318" s="8" t="s">
        <v>83</v>
      </c>
      <c r="E1318" s="8" t="s">
        <v>4295</v>
      </c>
      <c r="F1318" s="8" t="s">
        <v>782</v>
      </c>
      <c r="G1318" s="8" t="s">
        <v>801</v>
      </c>
      <c r="H1318" s="8" t="s">
        <v>915</v>
      </c>
    </row>
    <row r="1319" customFormat="false" ht="15" hidden="false" customHeight="false" outlineLevel="0" collapsed="false">
      <c r="A1319" s="8" t="s">
        <v>4296</v>
      </c>
      <c r="B1319" s="8" t="s">
        <v>4297</v>
      </c>
      <c r="C1319" s="8" t="n">
        <v>2010</v>
      </c>
      <c r="D1319" s="8" t="s">
        <v>58</v>
      </c>
      <c r="E1319" s="8" t="s">
        <v>4298</v>
      </c>
      <c r="F1319" s="8" t="s">
        <v>782</v>
      </c>
      <c r="G1319" s="8" t="s">
        <v>801</v>
      </c>
      <c r="H1319" s="8" t="s">
        <v>915</v>
      </c>
    </row>
    <row r="1320" customFormat="false" ht="15" hidden="false" customHeight="false" outlineLevel="0" collapsed="false">
      <c r="A1320" s="8" t="s">
        <v>4299</v>
      </c>
      <c r="B1320" s="8" t="s">
        <v>4300</v>
      </c>
      <c r="C1320" s="8" t="n">
        <v>2019</v>
      </c>
      <c r="D1320" s="8" t="s">
        <v>58</v>
      </c>
      <c r="E1320" s="8" t="s">
        <v>4301</v>
      </c>
      <c r="F1320" s="8" t="s">
        <v>782</v>
      </c>
      <c r="G1320" s="8" t="s">
        <v>783</v>
      </c>
      <c r="H1320" s="8" t="s">
        <v>784</v>
      </c>
    </row>
    <row r="1321" customFormat="false" ht="15" hidden="false" customHeight="false" outlineLevel="0" collapsed="false">
      <c r="A1321" s="8" t="s">
        <v>4302</v>
      </c>
      <c r="B1321" s="8" t="s">
        <v>4303</v>
      </c>
      <c r="C1321" s="8" t="n">
        <v>2015</v>
      </c>
      <c r="D1321" s="8" t="s">
        <v>83</v>
      </c>
      <c r="E1321" s="8" t="s">
        <v>4304</v>
      </c>
      <c r="F1321" s="8" t="s">
        <v>782</v>
      </c>
      <c r="G1321" s="8" t="s">
        <v>783</v>
      </c>
      <c r="H1321" s="8" t="s">
        <v>784</v>
      </c>
    </row>
    <row r="1322" customFormat="false" ht="15" hidden="false" customHeight="false" outlineLevel="0" collapsed="false">
      <c r="A1322" s="8" t="s">
        <v>4305</v>
      </c>
      <c r="B1322" s="8" t="s">
        <v>4306</v>
      </c>
      <c r="C1322" s="8" t="n">
        <v>2014</v>
      </c>
      <c r="D1322" s="8" t="s">
        <v>83</v>
      </c>
      <c r="E1322" s="8" t="s">
        <v>4307</v>
      </c>
      <c r="F1322" s="8" t="s">
        <v>782</v>
      </c>
      <c r="G1322" s="8" t="s">
        <v>783</v>
      </c>
      <c r="H1322" s="8" t="s">
        <v>784</v>
      </c>
    </row>
    <row r="1323" customFormat="false" ht="15" hidden="false" customHeight="false" outlineLevel="0" collapsed="false">
      <c r="A1323" s="8" t="s">
        <v>4308</v>
      </c>
      <c r="B1323" s="8" t="s">
        <v>4309</v>
      </c>
      <c r="C1323" s="8" t="n">
        <v>2014</v>
      </c>
      <c r="D1323" s="8" t="s">
        <v>58</v>
      </c>
      <c r="E1323" s="8" t="s">
        <v>4310</v>
      </c>
      <c r="F1323" s="8" t="s">
        <v>782</v>
      </c>
      <c r="G1323" s="8" t="s">
        <v>801</v>
      </c>
      <c r="H1323" s="8" t="s">
        <v>915</v>
      </c>
    </row>
    <row r="1324" customFormat="false" ht="15" hidden="false" customHeight="false" outlineLevel="0" collapsed="false">
      <c r="A1324" s="8" t="s">
        <v>4311</v>
      </c>
      <c r="B1324" s="8" t="s">
        <v>4312</v>
      </c>
      <c r="C1324" s="8" t="n">
        <v>2014</v>
      </c>
      <c r="D1324" s="8" t="s">
        <v>58</v>
      </c>
      <c r="E1324" s="8" t="s">
        <v>4313</v>
      </c>
      <c r="F1324" s="8" t="s">
        <v>782</v>
      </c>
      <c r="G1324" s="8" t="s">
        <v>783</v>
      </c>
      <c r="H1324" s="8" t="s">
        <v>784</v>
      </c>
    </row>
    <row r="1325" customFormat="false" ht="15" hidden="false" customHeight="false" outlineLevel="0" collapsed="false">
      <c r="A1325" s="8" t="s">
        <v>4314</v>
      </c>
      <c r="B1325" s="8" t="s">
        <v>4315</v>
      </c>
      <c r="C1325" s="8" t="n">
        <v>2015</v>
      </c>
      <c r="D1325" s="8" t="s">
        <v>58</v>
      </c>
      <c r="E1325" s="8"/>
      <c r="F1325" s="8" t="s">
        <v>782</v>
      </c>
      <c r="G1325" s="8" t="s">
        <v>783</v>
      </c>
      <c r="H1325" s="8" t="s">
        <v>784</v>
      </c>
    </row>
    <row r="1326" customFormat="false" ht="15" hidden="false" customHeight="false" outlineLevel="0" collapsed="false">
      <c r="A1326" s="8" t="s">
        <v>4316</v>
      </c>
      <c r="B1326" s="8" t="s">
        <v>4317</v>
      </c>
      <c r="C1326" s="8" t="n">
        <v>2010</v>
      </c>
      <c r="D1326" s="8" t="s">
        <v>58</v>
      </c>
      <c r="E1326" s="8"/>
      <c r="F1326" s="8" t="s">
        <v>782</v>
      </c>
      <c r="G1326" s="8" t="s">
        <v>783</v>
      </c>
      <c r="H1326" s="8" t="s">
        <v>861</v>
      </c>
    </row>
    <row r="1327" customFormat="false" ht="15" hidden="false" customHeight="false" outlineLevel="0" collapsed="false">
      <c r="A1327" s="8" t="s">
        <v>4318</v>
      </c>
      <c r="B1327" s="8" t="s">
        <v>4319</v>
      </c>
      <c r="C1327" s="8" t="n">
        <v>2018</v>
      </c>
      <c r="D1327" s="8" t="s">
        <v>58</v>
      </c>
      <c r="E1327" s="8"/>
      <c r="F1327" s="8" t="s">
        <v>782</v>
      </c>
      <c r="G1327" s="8" t="s">
        <v>783</v>
      </c>
      <c r="H1327" s="8" t="s">
        <v>784</v>
      </c>
    </row>
    <row r="1328" customFormat="false" ht="15" hidden="false" customHeight="false" outlineLevel="0" collapsed="false">
      <c r="A1328" s="8" t="s">
        <v>4320</v>
      </c>
      <c r="B1328" s="8" t="s">
        <v>4321</v>
      </c>
      <c r="C1328" s="8" t="n">
        <v>2017</v>
      </c>
      <c r="D1328" s="8" t="s">
        <v>83</v>
      </c>
      <c r="E1328" s="8" t="s">
        <v>4322</v>
      </c>
      <c r="F1328" s="8" t="s">
        <v>782</v>
      </c>
      <c r="G1328" s="8" t="s">
        <v>783</v>
      </c>
      <c r="H1328" s="8" t="s">
        <v>784</v>
      </c>
    </row>
    <row r="1329" customFormat="false" ht="15" hidden="false" customHeight="false" outlineLevel="0" collapsed="false">
      <c r="A1329" s="8" t="s">
        <v>4323</v>
      </c>
      <c r="B1329" s="8" t="s">
        <v>4324</v>
      </c>
      <c r="C1329" s="8" t="n">
        <v>2015</v>
      </c>
      <c r="D1329" s="8" t="s">
        <v>58</v>
      </c>
      <c r="E1329" s="8"/>
      <c r="F1329" s="8" t="s">
        <v>782</v>
      </c>
      <c r="G1329" s="8" t="s">
        <v>783</v>
      </c>
      <c r="H1329" s="8" t="s">
        <v>861</v>
      </c>
    </row>
    <row r="1330" customFormat="false" ht="15" hidden="false" customHeight="false" outlineLevel="0" collapsed="false">
      <c r="A1330" s="8" t="s">
        <v>4325</v>
      </c>
      <c r="B1330" s="8" t="s">
        <v>4326</v>
      </c>
      <c r="C1330" s="8" t="n">
        <v>2014</v>
      </c>
      <c r="D1330" s="8" t="s">
        <v>58</v>
      </c>
      <c r="E1330" s="8" t="s">
        <v>4327</v>
      </c>
      <c r="F1330" s="8" t="s">
        <v>782</v>
      </c>
      <c r="G1330" s="8" t="s">
        <v>783</v>
      </c>
      <c r="H1330" s="8" t="s">
        <v>784</v>
      </c>
    </row>
    <row r="1331" customFormat="false" ht="15" hidden="false" customHeight="false" outlineLevel="0" collapsed="false">
      <c r="A1331" s="8" t="s">
        <v>4328</v>
      </c>
      <c r="B1331" s="8" t="s">
        <v>4329</v>
      </c>
      <c r="C1331" s="8" t="n">
        <v>2016</v>
      </c>
      <c r="D1331" s="8" t="s">
        <v>58</v>
      </c>
      <c r="E1331" s="8" t="s">
        <v>4330</v>
      </c>
      <c r="F1331" s="8" t="s">
        <v>782</v>
      </c>
      <c r="G1331" s="8" t="s">
        <v>783</v>
      </c>
      <c r="H1331" s="8" t="s">
        <v>784</v>
      </c>
    </row>
    <row r="1332" customFormat="false" ht="15" hidden="false" customHeight="false" outlineLevel="0" collapsed="false">
      <c r="A1332" s="8" t="s">
        <v>4331</v>
      </c>
      <c r="B1332" s="8" t="s">
        <v>4332</v>
      </c>
      <c r="C1332" s="8" t="n">
        <v>2014</v>
      </c>
      <c r="D1332" s="8" t="s">
        <v>58</v>
      </c>
      <c r="E1332" s="8" t="s">
        <v>4333</v>
      </c>
      <c r="F1332" s="8" t="s">
        <v>782</v>
      </c>
      <c r="G1332" s="8" t="s">
        <v>783</v>
      </c>
      <c r="H1332" s="8" t="s">
        <v>784</v>
      </c>
    </row>
    <row r="1333" customFormat="false" ht="15" hidden="false" customHeight="false" outlineLevel="0" collapsed="false">
      <c r="A1333" s="8" t="s">
        <v>4334</v>
      </c>
      <c r="B1333" s="8" t="s">
        <v>4335</v>
      </c>
      <c r="C1333" s="8" t="n">
        <v>2018</v>
      </c>
      <c r="D1333" s="8" t="s">
        <v>58</v>
      </c>
      <c r="E1333" s="8" t="s">
        <v>4336</v>
      </c>
      <c r="F1333" s="8" t="s">
        <v>782</v>
      </c>
      <c r="G1333" s="8" t="s">
        <v>783</v>
      </c>
      <c r="H1333" s="8" t="s">
        <v>784</v>
      </c>
    </row>
    <row r="1334" customFormat="false" ht="15" hidden="false" customHeight="false" outlineLevel="0" collapsed="false">
      <c r="A1334" s="8" t="s">
        <v>4337</v>
      </c>
      <c r="B1334" s="8" t="s">
        <v>4338</v>
      </c>
      <c r="C1334" s="8" t="n">
        <v>2014</v>
      </c>
      <c r="D1334" s="8" t="s">
        <v>58</v>
      </c>
      <c r="E1334" s="8" t="s">
        <v>4339</v>
      </c>
      <c r="F1334" s="8" t="s">
        <v>782</v>
      </c>
      <c r="G1334" s="8" t="s">
        <v>783</v>
      </c>
      <c r="H1334" s="8" t="s">
        <v>784</v>
      </c>
    </row>
    <row r="1335" customFormat="false" ht="15" hidden="false" customHeight="false" outlineLevel="0" collapsed="false">
      <c r="A1335" s="8" t="s">
        <v>4340</v>
      </c>
      <c r="B1335" s="8" t="s">
        <v>4341</v>
      </c>
      <c r="C1335" s="8" t="n">
        <v>2013</v>
      </c>
      <c r="D1335" s="8" t="s">
        <v>58</v>
      </c>
      <c r="E1335" s="8" t="s">
        <v>4342</v>
      </c>
      <c r="F1335" s="8" t="s">
        <v>782</v>
      </c>
      <c r="G1335" s="8" t="s">
        <v>783</v>
      </c>
      <c r="H1335" s="8" t="s">
        <v>784</v>
      </c>
    </row>
    <row r="1336" customFormat="false" ht="15" hidden="false" customHeight="false" outlineLevel="0" collapsed="false">
      <c r="A1336" s="8" t="s">
        <v>4343</v>
      </c>
      <c r="B1336" s="8" t="s">
        <v>4344</v>
      </c>
      <c r="C1336" s="8" t="n">
        <v>2013</v>
      </c>
      <c r="D1336" s="8" t="s">
        <v>58</v>
      </c>
      <c r="E1336" s="8"/>
      <c r="F1336" s="8" t="s">
        <v>782</v>
      </c>
      <c r="G1336" s="8" t="s">
        <v>783</v>
      </c>
      <c r="H1336" s="8" t="s">
        <v>784</v>
      </c>
    </row>
    <row r="1337" customFormat="false" ht="15" hidden="false" customHeight="false" outlineLevel="0" collapsed="false">
      <c r="A1337" s="8" t="s">
        <v>4345</v>
      </c>
      <c r="B1337" s="8" t="s">
        <v>4346</v>
      </c>
      <c r="C1337" s="8" t="n">
        <v>2018</v>
      </c>
      <c r="D1337" s="8" t="s">
        <v>58</v>
      </c>
      <c r="E1337" s="8" t="s">
        <v>4347</v>
      </c>
      <c r="F1337" s="8" t="s">
        <v>782</v>
      </c>
      <c r="G1337" s="8" t="s">
        <v>783</v>
      </c>
      <c r="H1337" s="8" t="s">
        <v>784</v>
      </c>
    </row>
    <row r="1338" customFormat="false" ht="15" hidden="false" customHeight="false" outlineLevel="0" collapsed="false">
      <c r="A1338" s="8" t="s">
        <v>4348</v>
      </c>
      <c r="B1338" s="8" t="s">
        <v>4349</v>
      </c>
      <c r="C1338" s="8" t="n">
        <v>2014</v>
      </c>
      <c r="D1338" s="8" t="s">
        <v>58</v>
      </c>
      <c r="E1338" s="8" t="s">
        <v>4350</v>
      </c>
      <c r="F1338" s="8" t="s">
        <v>782</v>
      </c>
      <c r="G1338" s="8" t="s">
        <v>783</v>
      </c>
      <c r="H1338" s="8" t="s">
        <v>784</v>
      </c>
    </row>
    <row r="1339" customFormat="false" ht="15" hidden="false" customHeight="false" outlineLevel="0" collapsed="false">
      <c r="A1339" s="8" t="s">
        <v>4351</v>
      </c>
      <c r="B1339" s="8" t="s">
        <v>4352</v>
      </c>
      <c r="C1339" s="8" t="n">
        <v>2013</v>
      </c>
      <c r="D1339" s="8" t="s">
        <v>58</v>
      </c>
      <c r="E1339" s="8" t="s">
        <v>4353</v>
      </c>
      <c r="F1339" s="8" t="s">
        <v>782</v>
      </c>
      <c r="G1339" s="8" t="s">
        <v>801</v>
      </c>
      <c r="H1339" s="8" t="s">
        <v>802</v>
      </c>
    </row>
    <row r="1340" customFormat="false" ht="15" hidden="false" customHeight="false" outlineLevel="0" collapsed="false">
      <c r="A1340" s="8" t="s">
        <v>4354</v>
      </c>
      <c r="B1340" s="8" t="s">
        <v>4355</v>
      </c>
      <c r="C1340" s="8" t="n">
        <v>2013</v>
      </c>
      <c r="D1340" s="8" t="s">
        <v>83</v>
      </c>
      <c r="E1340" s="8" t="s">
        <v>4356</v>
      </c>
      <c r="F1340" s="8" t="s">
        <v>782</v>
      </c>
      <c r="G1340" s="8" t="s">
        <v>783</v>
      </c>
      <c r="H1340" s="8" t="s">
        <v>861</v>
      </c>
    </row>
    <row r="1341" customFormat="false" ht="15" hidden="false" customHeight="false" outlineLevel="0" collapsed="false">
      <c r="A1341" s="8" t="s">
        <v>4357</v>
      </c>
      <c r="B1341" s="8" t="s">
        <v>4358</v>
      </c>
      <c r="C1341" s="8" t="n">
        <v>2015</v>
      </c>
      <c r="D1341" s="8" t="s">
        <v>58</v>
      </c>
      <c r="E1341" s="8" t="s">
        <v>4359</v>
      </c>
      <c r="F1341" s="8" t="s">
        <v>782</v>
      </c>
      <c r="G1341" s="8" t="s">
        <v>783</v>
      </c>
      <c r="H1341" s="8" t="s">
        <v>784</v>
      </c>
    </row>
    <row r="1342" customFormat="false" ht="15" hidden="false" customHeight="false" outlineLevel="0" collapsed="false">
      <c r="A1342" s="8" t="s">
        <v>4360</v>
      </c>
      <c r="B1342" s="8" t="s">
        <v>4361</v>
      </c>
      <c r="C1342" s="8" t="n">
        <v>2017</v>
      </c>
      <c r="D1342" s="8" t="s">
        <v>58</v>
      </c>
      <c r="E1342" s="8" t="s">
        <v>4362</v>
      </c>
      <c r="F1342" s="8" t="s">
        <v>782</v>
      </c>
      <c r="G1342" s="8" t="s">
        <v>783</v>
      </c>
      <c r="H1342" s="8" t="s">
        <v>784</v>
      </c>
    </row>
    <row r="1343" customFormat="false" ht="15" hidden="false" customHeight="false" outlineLevel="0" collapsed="false">
      <c r="A1343" s="8" t="s">
        <v>4363</v>
      </c>
      <c r="B1343" s="8" t="s">
        <v>4364</v>
      </c>
      <c r="C1343" s="8" t="n">
        <v>2014</v>
      </c>
      <c r="D1343" s="8" t="s">
        <v>58</v>
      </c>
      <c r="E1343" s="8" t="s">
        <v>4365</v>
      </c>
      <c r="F1343" s="8" t="s">
        <v>782</v>
      </c>
      <c r="G1343" s="8" t="s">
        <v>801</v>
      </c>
      <c r="H1343" s="8" t="s">
        <v>802</v>
      </c>
    </row>
    <row r="1344" customFormat="false" ht="15" hidden="false" customHeight="false" outlineLevel="0" collapsed="false">
      <c r="A1344" s="8" t="s">
        <v>4366</v>
      </c>
      <c r="B1344" s="8" t="s">
        <v>4367</v>
      </c>
      <c r="C1344" s="8" t="n">
        <v>2018</v>
      </c>
      <c r="D1344" s="8" t="s">
        <v>58</v>
      </c>
      <c r="E1344" s="8" t="s">
        <v>4368</v>
      </c>
      <c r="F1344" s="8" t="s">
        <v>782</v>
      </c>
      <c r="G1344" s="8" t="s">
        <v>783</v>
      </c>
      <c r="H1344" s="8" t="s">
        <v>784</v>
      </c>
    </row>
    <row r="1345" customFormat="false" ht="15" hidden="false" customHeight="false" outlineLevel="0" collapsed="false">
      <c r="A1345" s="8" t="s">
        <v>4369</v>
      </c>
      <c r="B1345" s="8" t="s">
        <v>4370</v>
      </c>
      <c r="C1345" s="8" t="n">
        <v>2012</v>
      </c>
      <c r="D1345" s="8" t="s">
        <v>58</v>
      </c>
      <c r="E1345" s="8" t="s">
        <v>4371</v>
      </c>
      <c r="F1345" s="8" t="s">
        <v>782</v>
      </c>
      <c r="G1345" s="8" t="s">
        <v>783</v>
      </c>
      <c r="H1345" s="8" t="s">
        <v>784</v>
      </c>
    </row>
    <row r="1346" customFormat="false" ht="15" hidden="false" customHeight="false" outlineLevel="0" collapsed="false">
      <c r="A1346" s="8" t="s">
        <v>4372</v>
      </c>
      <c r="B1346" s="8" t="s">
        <v>4373</v>
      </c>
      <c r="C1346" s="8" t="n">
        <v>2017</v>
      </c>
      <c r="D1346" s="8" t="s">
        <v>58</v>
      </c>
      <c r="E1346" s="8" t="s">
        <v>4374</v>
      </c>
      <c r="F1346" s="8" t="s">
        <v>782</v>
      </c>
      <c r="G1346" s="8" t="s">
        <v>783</v>
      </c>
      <c r="H1346" s="8" t="s">
        <v>784</v>
      </c>
    </row>
    <row r="1347" customFormat="false" ht="15" hidden="false" customHeight="false" outlineLevel="0" collapsed="false">
      <c r="A1347" s="8" t="s">
        <v>4375</v>
      </c>
      <c r="B1347" s="8" t="s">
        <v>4376</v>
      </c>
      <c r="C1347" s="8" t="n">
        <v>2018</v>
      </c>
      <c r="D1347" s="8" t="s">
        <v>58</v>
      </c>
      <c r="E1347" s="8" t="s">
        <v>4377</v>
      </c>
      <c r="F1347" s="8" t="s">
        <v>782</v>
      </c>
      <c r="G1347" s="8" t="s">
        <v>783</v>
      </c>
      <c r="H1347" s="8" t="s">
        <v>861</v>
      </c>
    </row>
    <row r="1348" customFormat="false" ht="15" hidden="false" customHeight="false" outlineLevel="0" collapsed="false">
      <c r="A1348" s="8" t="s">
        <v>4378</v>
      </c>
      <c r="B1348" s="8" t="s">
        <v>4379</v>
      </c>
      <c r="C1348" s="8" t="n">
        <v>2014</v>
      </c>
      <c r="D1348" s="8" t="s">
        <v>58</v>
      </c>
      <c r="E1348" s="8" t="s">
        <v>4380</v>
      </c>
      <c r="F1348" s="8" t="s">
        <v>782</v>
      </c>
      <c r="G1348" s="8" t="s">
        <v>783</v>
      </c>
      <c r="H1348" s="8" t="s">
        <v>784</v>
      </c>
    </row>
    <row r="1349" customFormat="false" ht="15" hidden="false" customHeight="false" outlineLevel="0" collapsed="false">
      <c r="A1349" s="8" t="s">
        <v>4381</v>
      </c>
      <c r="B1349" s="8" t="s">
        <v>4382</v>
      </c>
      <c r="C1349" s="8" t="n">
        <v>2015</v>
      </c>
      <c r="D1349" s="8" t="s">
        <v>58</v>
      </c>
      <c r="E1349" s="8" t="s">
        <v>4383</v>
      </c>
      <c r="F1349" s="8" t="s">
        <v>782</v>
      </c>
      <c r="G1349" s="8" t="s">
        <v>783</v>
      </c>
      <c r="H1349" s="8" t="s">
        <v>784</v>
      </c>
    </row>
    <row r="1350" customFormat="false" ht="15" hidden="false" customHeight="false" outlineLevel="0" collapsed="false">
      <c r="A1350" s="8" t="s">
        <v>4384</v>
      </c>
      <c r="B1350" s="8" t="s">
        <v>4385</v>
      </c>
      <c r="C1350" s="8" t="n">
        <v>2014</v>
      </c>
      <c r="D1350" s="8" t="s">
        <v>58</v>
      </c>
      <c r="E1350" s="8" t="s">
        <v>4386</v>
      </c>
      <c r="F1350" s="8" t="s">
        <v>782</v>
      </c>
      <c r="G1350" s="8" t="s">
        <v>783</v>
      </c>
      <c r="H1350" s="8" t="s">
        <v>784</v>
      </c>
    </row>
    <row r="1351" customFormat="false" ht="15" hidden="false" customHeight="false" outlineLevel="0" collapsed="false">
      <c r="A1351" s="8" t="s">
        <v>4387</v>
      </c>
      <c r="B1351" s="8" t="s">
        <v>4388</v>
      </c>
      <c r="C1351" s="8" t="n">
        <v>2018</v>
      </c>
      <c r="D1351" s="8" t="s">
        <v>83</v>
      </c>
      <c r="E1351" s="8" t="s">
        <v>4389</v>
      </c>
      <c r="F1351" s="8" t="s">
        <v>782</v>
      </c>
      <c r="G1351" s="8" t="s">
        <v>783</v>
      </c>
      <c r="H1351" s="8" t="s">
        <v>861</v>
      </c>
    </row>
    <row r="1352" customFormat="false" ht="15" hidden="false" customHeight="false" outlineLevel="0" collapsed="false">
      <c r="A1352" s="8" t="s">
        <v>4390</v>
      </c>
      <c r="B1352" s="8" t="s">
        <v>4391</v>
      </c>
      <c r="C1352" s="8" t="n">
        <v>2013</v>
      </c>
      <c r="D1352" s="8" t="s">
        <v>58</v>
      </c>
      <c r="E1352" s="8"/>
      <c r="F1352" s="8" t="s">
        <v>782</v>
      </c>
      <c r="G1352" s="8" t="s">
        <v>783</v>
      </c>
      <c r="H1352" s="8" t="s">
        <v>784</v>
      </c>
    </row>
    <row r="1353" customFormat="false" ht="15" hidden="false" customHeight="false" outlineLevel="0" collapsed="false">
      <c r="A1353" s="8" t="s">
        <v>4392</v>
      </c>
      <c r="B1353" s="8" t="s">
        <v>4393</v>
      </c>
      <c r="C1353" s="8" t="n">
        <v>2016</v>
      </c>
      <c r="D1353" s="8" t="s">
        <v>58</v>
      </c>
      <c r="E1353" s="8" t="s">
        <v>4394</v>
      </c>
      <c r="F1353" s="8" t="s">
        <v>782</v>
      </c>
      <c r="G1353" s="8" t="s">
        <v>783</v>
      </c>
      <c r="H1353" s="8" t="s">
        <v>784</v>
      </c>
    </row>
    <row r="1354" customFormat="false" ht="15" hidden="false" customHeight="false" outlineLevel="0" collapsed="false">
      <c r="A1354" s="8" t="s">
        <v>4395</v>
      </c>
      <c r="B1354" s="8" t="s">
        <v>4396</v>
      </c>
      <c r="C1354" s="8" t="n">
        <v>2011</v>
      </c>
      <c r="D1354" s="8" t="s">
        <v>83</v>
      </c>
      <c r="E1354" s="8" t="s">
        <v>4397</v>
      </c>
      <c r="F1354" s="8" t="s">
        <v>782</v>
      </c>
      <c r="G1354" s="8" t="s">
        <v>783</v>
      </c>
      <c r="H1354" s="8" t="s">
        <v>784</v>
      </c>
    </row>
    <row r="1355" customFormat="false" ht="15" hidden="false" customHeight="false" outlineLevel="0" collapsed="false">
      <c r="A1355" s="8" t="s">
        <v>730</v>
      </c>
      <c r="B1355" s="8" t="s">
        <v>732</v>
      </c>
      <c r="C1355" s="8" t="n">
        <v>2014</v>
      </c>
      <c r="D1355" s="8" t="s">
        <v>58</v>
      </c>
      <c r="E1355" s="8" t="s">
        <v>734</v>
      </c>
      <c r="F1355" s="8" t="s">
        <v>852</v>
      </c>
      <c r="G1355" s="8" t="s">
        <v>853</v>
      </c>
      <c r="H1355" s="8" t="s">
        <v>854</v>
      </c>
    </row>
    <row r="1356" customFormat="false" ht="15" hidden="false" customHeight="false" outlineLevel="0" collapsed="false">
      <c r="A1356" s="8" t="s">
        <v>4398</v>
      </c>
      <c r="B1356" s="8" t="s">
        <v>4399</v>
      </c>
      <c r="C1356" s="8" t="n">
        <v>2017</v>
      </c>
      <c r="D1356" s="8" t="s">
        <v>58</v>
      </c>
      <c r="E1356" s="8" t="s">
        <v>4400</v>
      </c>
      <c r="F1356" s="8" t="s">
        <v>782</v>
      </c>
      <c r="G1356" s="8" t="s">
        <v>783</v>
      </c>
      <c r="H1356" s="8" t="s">
        <v>784</v>
      </c>
    </row>
    <row r="1357" customFormat="false" ht="15" hidden="false" customHeight="false" outlineLevel="0" collapsed="false">
      <c r="A1357" s="8" t="s">
        <v>4401</v>
      </c>
      <c r="B1357" s="8" t="s">
        <v>4402</v>
      </c>
      <c r="C1357" s="8" t="n">
        <v>2017</v>
      </c>
      <c r="D1357" s="8" t="s">
        <v>58</v>
      </c>
      <c r="E1357" s="8" t="s">
        <v>4403</v>
      </c>
      <c r="F1357" s="8" t="s">
        <v>782</v>
      </c>
      <c r="G1357" s="8" t="s">
        <v>895</v>
      </c>
      <c r="H1357" s="8" t="s">
        <v>896</v>
      </c>
    </row>
    <row r="1358" customFormat="false" ht="15" hidden="false" customHeight="false" outlineLevel="0" collapsed="false">
      <c r="A1358" s="8" t="s">
        <v>4404</v>
      </c>
      <c r="B1358" s="8" t="s">
        <v>4405</v>
      </c>
      <c r="C1358" s="8" t="n">
        <v>2012</v>
      </c>
      <c r="D1358" s="8" t="s">
        <v>58</v>
      </c>
      <c r="E1358" s="8"/>
      <c r="F1358" s="8" t="s">
        <v>782</v>
      </c>
      <c r="G1358" s="8" t="s">
        <v>783</v>
      </c>
      <c r="H1358" s="8" t="s">
        <v>784</v>
      </c>
    </row>
    <row r="1359" customFormat="false" ht="15" hidden="false" customHeight="false" outlineLevel="0" collapsed="false">
      <c r="A1359" s="8" t="s">
        <v>4406</v>
      </c>
      <c r="B1359" s="8" t="s">
        <v>4407</v>
      </c>
      <c r="C1359" s="8" t="n">
        <v>2013</v>
      </c>
      <c r="D1359" s="8" t="s">
        <v>58</v>
      </c>
      <c r="E1359" s="8"/>
      <c r="F1359" s="8" t="s">
        <v>782</v>
      </c>
      <c r="G1359" s="8" t="s">
        <v>783</v>
      </c>
      <c r="H1359" s="8" t="s">
        <v>784</v>
      </c>
    </row>
    <row r="1360" customFormat="false" ht="15" hidden="false" customHeight="false" outlineLevel="0" collapsed="false">
      <c r="A1360" s="8" t="s">
        <v>4408</v>
      </c>
      <c r="B1360" s="8" t="s">
        <v>4409</v>
      </c>
      <c r="C1360" s="8" t="n">
        <v>2014</v>
      </c>
      <c r="D1360" s="8" t="s">
        <v>83</v>
      </c>
      <c r="E1360" s="8" t="s">
        <v>4410</v>
      </c>
      <c r="F1360" s="8" t="s">
        <v>782</v>
      </c>
      <c r="G1360" s="8" t="s">
        <v>788</v>
      </c>
      <c r="H1360" s="8" t="s">
        <v>789</v>
      </c>
    </row>
    <row r="1361" customFormat="false" ht="15" hidden="false" customHeight="false" outlineLevel="0" collapsed="false">
      <c r="A1361" s="8" t="s">
        <v>4411</v>
      </c>
      <c r="B1361" s="8" t="s">
        <v>4412</v>
      </c>
      <c r="C1361" s="8" t="n">
        <v>2014</v>
      </c>
      <c r="D1361" s="8" t="s">
        <v>58</v>
      </c>
      <c r="E1361" s="8"/>
      <c r="F1361" s="8" t="s">
        <v>782</v>
      </c>
      <c r="G1361" s="8" t="s">
        <v>783</v>
      </c>
      <c r="H1361" s="8" t="s">
        <v>784</v>
      </c>
    </row>
    <row r="1362" customFormat="false" ht="15" hidden="false" customHeight="false" outlineLevel="0" collapsed="false">
      <c r="A1362" s="8" t="s">
        <v>4413</v>
      </c>
      <c r="B1362" s="8" t="s">
        <v>4414</v>
      </c>
      <c r="C1362" s="8" t="n">
        <v>2013</v>
      </c>
      <c r="D1362" s="8" t="s">
        <v>58</v>
      </c>
      <c r="E1362" s="8"/>
      <c r="F1362" s="8" t="s">
        <v>782</v>
      </c>
      <c r="G1362" s="8" t="s">
        <v>783</v>
      </c>
      <c r="H1362" s="8" t="s">
        <v>784</v>
      </c>
    </row>
    <row r="1363" customFormat="false" ht="15" hidden="false" customHeight="false" outlineLevel="0" collapsed="false">
      <c r="A1363" s="8" t="s">
        <v>4415</v>
      </c>
      <c r="B1363" s="8" t="s">
        <v>4416</v>
      </c>
      <c r="C1363" s="8" t="n">
        <v>2010</v>
      </c>
      <c r="D1363" s="8" t="s">
        <v>58</v>
      </c>
      <c r="E1363" s="8"/>
      <c r="F1363" s="8" t="s">
        <v>782</v>
      </c>
      <c r="G1363" s="8" t="s">
        <v>801</v>
      </c>
      <c r="H1363" s="8" t="s">
        <v>802</v>
      </c>
    </row>
    <row r="1364" customFormat="false" ht="15" hidden="false" customHeight="false" outlineLevel="0" collapsed="false">
      <c r="A1364" s="8" t="s">
        <v>4417</v>
      </c>
      <c r="B1364" s="8" t="s">
        <v>4418</v>
      </c>
      <c r="C1364" s="8" t="n">
        <v>2018</v>
      </c>
      <c r="D1364" s="8" t="s">
        <v>58</v>
      </c>
      <c r="E1364" s="8" t="s">
        <v>4419</v>
      </c>
      <c r="F1364" s="8" t="s">
        <v>782</v>
      </c>
      <c r="G1364" s="8" t="s">
        <v>783</v>
      </c>
      <c r="H1364" s="8" t="s">
        <v>784</v>
      </c>
    </row>
    <row r="1365" customFormat="false" ht="15" hidden="false" customHeight="false" outlineLevel="0" collapsed="false">
      <c r="A1365" s="8" t="s">
        <v>4420</v>
      </c>
      <c r="B1365" s="8" t="s">
        <v>4421</v>
      </c>
      <c r="C1365" s="8" t="n">
        <v>2010</v>
      </c>
      <c r="D1365" s="8" t="s">
        <v>58</v>
      </c>
      <c r="E1365" s="8" t="s">
        <v>4422</v>
      </c>
      <c r="F1365" s="8" t="s">
        <v>782</v>
      </c>
      <c r="G1365" s="8" t="s">
        <v>801</v>
      </c>
      <c r="H1365" s="8" t="s">
        <v>915</v>
      </c>
    </row>
    <row r="1366" customFormat="false" ht="15" hidden="false" customHeight="false" outlineLevel="0" collapsed="false">
      <c r="A1366" s="8" t="s">
        <v>4423</v>
      </c>
      <c r="B1366" s="8" t="s">
        <v>4424</v>
      </c>
      <c r="C1366" s="8" t="n">
        <v>2018</v>
      </c>
      <c r="D1366" s="8" t="s">
        <v>58</v>
      </c>
      <c r="E1366" s="8" t="s">
        <v>4425</v>
      </c>
      <c r="F1366" s="8" t="s">
        <v>782</v>
      </c>
      <c r="G1366" s="8" t="s">
        <v>783</v>
      </c>
      <c r="H1366" s="8" t="s">
        <v>784</v>
      </c>
    </row>
    <row r="1367" customFormat="false" ht="15" hidden="false" customHeight="false" outlineLevel="0" collapsed="false">
      <c r="A1367" s="8" t="s">
        <v>4426</v>
      </c>
      <c r="B1367" s="8" t="s">
        <v>4427</v>
      </c>
      <c r="C1367" s="8" t="n">
        <v>2017</v>
      </c>
      <c r="D1367" s="8" t="s">
        <v>58</v>
      </c>
      <c r="E1367" s="8" t="s">
        <v>4428</v>
      </c>
      <c r="F1367" s="8" t="s">
        <v>782</v>
      </c>
      <c r="G1367" s="8" t="s">
        <v>783</v>
      </c>
      <c r="H1367" s="8" t="s">
        <v>784</v>
      </c>
    </row>
    <row r="1368" customFormat="false" ht="15" hidden="false" customHeight="false" outlineLevel="0" collapsed="false">
      <c r="A1368" s="8" t="s">
        <v>4429</v>
      </c>
      <c r="B1368" s="8" t="s">
        <v>4430</v>
      </c>
      <c r="C1368" s="8" t="n">
        <v>2017</v>
      </c>
      <c r="D1368" s="8" t="s">
        <v>58</v>
      </c>
      <c r="E1368" s="8" t="s">
        <v>4431</v>
      </c>
      <c r="F1368" s="8" t="s">
        <v>782</v>
      </c>
      <c r="G1368" s="8" t="s">
        <v>783</v>
      </c>
      <c r="H1368" s="8" t="s">
        <v>784</v>
      </c>
    </row>
    <row r="1369" customFormat="false" ht="15" hidden="false" customHeight="false" outlineLevel="0" collapsed="false">
      <c r="A1369" s="8" t="s">
        <v>4432</v>
      </c>
      <c r="B1369" s="8" t="s">
        <v>4433</v>
      </c>
      <c r="C1369" s="8" t="n">
        <v>2015</v>
      </c>
      <c r="D1369" s="8" t="s">
        <v>58</v>
      </c>
      <c r="E1369" s="8" t="s">
        <v>4434</v>
      </c>
      <c r="F1369" s="8" t="s">
        <v>782</v>
      </c>
      <c r="G1369" s="8" t="s">
        <v>783</v>
      </c>
      <c r="H1369" s="8" t="s">
        <v>784</v>
      </c>
    </row>
    <row r="1370" customFormat="false" ht="15" hidden="false" customHeight="false" outlineLevel="0" collapsed="false">
      <c r="A1370" s="8" t="s">
        <v>4435</v>
      </c>
      <c r="B1370" s="8" t="s">
        <v>4436</v>
      </c>
      <c r="C1370" s="8" t="n">
        <v>2017</v>
      </c>
      <c r="D1370" s="8" t="s">
        <v>58</v>
      </c>
      <c r="E1370" s="8" t="s">
        <v>4437</v>
      </c>
      <c r="F1370" s="8" t="s">
        <v>782</v>
      </c>
      <c r="G1370" s="8" t="s">
        <v>783</v>
      </c>
      <c r="H1370" s="8" t="s">
        <v>784</v>
      </c>
    </row>
    <row r="1371" customFormat="false" ht="15" hidden="false" customHeight="false" outlineLevel="0" collapsed="false">
      <c r="A1371" s="8" t="s">
        <v>4438</v>
      </c>
      <c r="B1371" s="8" t="s">
        <v>4439</v>
      </c>
      <c r="C1371" s="8" t="n">
        <v>2011</v>
      </c>
      <c r="D1371" s="8" t="s">
        <v>83</v>
      </c>
      <c r="E1371" s="8" t="s">
        <v>4440</v>
      </c>
      <c r="F1371" s="8" t="s">
        <v>782</v>
      </c>
      <c r="G1371" s="8" t="s">
        <v>801</v>
      </c>
      <c r="H1371" s="8" t="s">
        <v>915</v>
      </c>
    </row>
    <row r="1372" customFormat="false" ht="15" hidden="false" customHeight="false" outlineLevel="0" collapsed="false">
      <c r="A1372" s="8" t="s">
        <v>4441</v>
      </c>
      <c r="B1372" s="8" t="s">
        <v>4442</v>
      </c>
      <c r="C1372" s="8" t="n">
        <v>2015</v>
      </c>
      <c r="D1372" s="8" t="s">
        <v>58</v>
      </c>
      <c r="E1372" s="8"/>
      <c r="F1372" s="8" t="s">
        <v>782</v>
      </c>
      <c r="G1372" s="8" t="s">
        <v>783</v>
      </c>
      <c r="H1372" s="8" t="s">
        <v>784</v>
      </c>
    </row>
    <row r="1373" customFormat="false" ht="15" hidden="false" customHeight="false" outlineLevel="0" collapsed="false">
      <c r="A1373" s="8" t="s">
        <v>4443</v>
      </c>
      <c r="B1373" s="8" t="s">
        <v>4444</v>
      </c>
      <c r="C1373" s="8" t="n">
        <v>2010</v>
      </c>
      <c r="D1373" s="8" t="s">
        <v>58</v>
      </c>
      <c r="E1373" s="8" t="s">
        <v>4445</v>
      </c>
      <c r="F1373" s="8" t="s">
        <v>782</v>
      </c>
      <c r="G1373" s="8" t="s">
        <v>783</v>
      </c>
      <c r="H1373" s="8" t="s">
        <v>784</v>
      </c>
    </row>
    <row r="1374" customFormat="false" ht="15" hidden="false" customHeight="false" outlineLevel="0" collapsed="false">
      <c r="A1374" s="8" t="s">
        <v>4446</v>
      </c>
      <c r="B1374" s="8" t="s">
        <v>4447</v>
      </c>
      <c r="C1374" s="8" t="n">
        <v>2010</v>
      </c>
      <c r="D1374" s="8" t="s">
        <v>58</v>
      </c>
      <c r="E1374" s="8" t="s">
        <v>4448</v>
      </c>
      <c r="F1374" s="8" t="s">
        <v>782</v>
      </c>
      <c r="G1374" s="8" t="s">
        <v>783</v>
      </c>
      <c r="H1374" s="8" t="s">
        <v>784</v>
      </c>
    </row>
    <row r="1375" customFormat="false" ht="15" hidden="false" customHeight="false" outlineLevel="0" collapsed="false">
      <c r="A1375" s="8" t="s">
        <v>4449</v>
      </c>
      <c r="B1375" s="8" t="s">
        <v>4450</v>
      </c>
      <c r="C1375" s="8" t="n">
        <v>2011</v>
      </c>
      <c r="D1375" s="8" t="s">
        <v>58</v>
      </c>
      <c r="E1375" s="8" t="s">
        <v>4451</v>
      </c>
      <c r="F1375" s="8" t="s">
        <v>782</v>
      </c>
      <c r="G1375" s="8" t="s">
        <v>801</v>
      </c>
      <c r="H1375" s="8" t="s">
        <v>802</v>
      </c>
    </row>
    <row r="1376" customFormat="false" ht="15" hidden="false" customHeight="false" outlineLevel="0" collapsed="false">
      <c r="A1376" s="8" t="s">
        <v>4452</v>
      </c>
      <c r="B1376" s="8" t="s">
        <v>4453</v>
      </c>
      <c r="C1376" s="8" t="n">
        <v>2014</v>
      </c>
      <c r="D1376" s="8" t="s">
        <v>83</v>
      </c>
      <c r="E1376" s="8" t="s">
        <v>4454</v>
      </c>
      <c r="F1376" s="8" t="s">
        <v>782</v>
      </c>
      <c r="G1376" s="8" t="s">
        <v>895</v>
      </c>
      <c r="H1376" s="8" t="s">
        <v>896</v>
      </c>
    </row>
    <row r="1377" customFormat="false" ht="15" hidden="false" customHeight="false" outlineLevel="0" collapsed="false">
      <c r="A1377" s="8" t="s">
        <v>4455</v>
      </c>
      <c r="B1377" s="8" t="s">
        <v>4456</v>
      </c>
      <c r="C1377" s="8" t="n">
        <v>2016</v>
      </c>
      <c r="D1377" s="8" t="s">
        <v>58</v>
      </c>
      <c r="E1377" s="8" t="s">
        <v>4457</v>
      </c>
      <c r="F1377" s="8" t="s">
        <v>782</v>
      </c>
      <c r="G1377" s="8" t="s">
        <v>783</v>
      </c>
      <c r="H1377" s="8" t="s">
        <v>784</v>
      </c>
    </row>
    <row r="1378" customFormat="false" ht="15" hidden="false" customHeight="false" outlineLevel="0" collapsed="false">
      <c r="A1378" s="8" t="s">
        <v>4458</v>
      </c>
      <c r="B1378" s="8" t="s">
        <v>4459</v>
      </c>
      <c r="C1378" s="8" t="n">
        <v>2010</v>
      </c>
      <c r="D1378" s="8" t="s">
        <v>58</v>
      </c>
      <c r="E1378" s="8"/>
      <c r="F1378" s="8" t="s">
        <v>782</v>
      </c>
      <c r="G1378" s="8" t="s">
        <v>783</v>
      </c>
      <c r="H1378" s="8" t="s">
        <v>784</v>
      </c>
    </row>
    <row r="1379" customFormat="false" ht="15" hidden="false" customHeight="false" outlineLevel="0" collapsed="false">
      <c r="A1379" s="8" t="s">
        <v>4460</v>
      </c>
      <c r="B1379" s="8" t="s">
        <v>4461</v>
      </c>
      <c r="C1379" s="8" t="n">
        <v>2018</v>
      </c>
      <c r="D1379" s="8" t="s">
        <v>58</v>
      </c>
      <c r="E1379" s="8" t="s">
        <v>4462</v>
      </c>
      <c r="F1379" s="8" t="s">
        <v>782</v>
      </c>
      <c r="G1379" s="8" t="s">
        <v>783</v>
      </c>
      <c r="H1379" s="8" t="s">
        <v>784</v>
      </c>
    </row>
    <row r="1380" customFormat="false" ht="15" hidden="false" customHeight="false" outlineLevel="0" collapsed="false">
      <c r="A1380" s="8" t="s">
        <v>4463</v>
      </c>
      <c r="B1380" s="8" t="s">
        <v>4464</v>
      </c>
      <c r="C1380" s="8" t="n">
        <v>2011</v>
      </c>
      <c r="D1380" s="8" t="s">
        <v>58</v>
      </c>
      <c r="E1380" s="8" t="s">
        <v>4465</v>
      </c>
      <c r="F1380" s="8" t="s">
        <v>782</v>
      </c>
      <c r="G1380" s="8" t="s">
        <v>801</v>
      </c>
      <c r="H1380" s="8" t="s">
        <v>915</v>
      </c>
    </row>
    <row r="1381" customFormat="false" ht="15" hidden="false" customHeight="false" outlineLevel="0" collapsed="false">
      <c r="A1381" s="8" t="s">
        <v>4466</v>
      </c>
      <c r="B1381" s="8" t="s">
        <v>4467</v>
      </c>
      <c r="C1381" s="8" t="n">
        <v>2016</v>
      </c>
      <c r="D1381" s="8" t="s">
        <v>58</v>
      </c>
      <c r="E1381" s="8"/>
      <c r="F1381" s="8" t="s">
        <v>782</v>
      </c>
      <c r="G1381" s="8" t="s">
        <v>783</v>
      </c>
      <c r="H1381" s="8" t="s">
        <v>784</v>
      </c>
    </row>
    <row r="1382" customFormat="false" ht="15" hidden="false" customHeight="false" outlineLevel="0" collapsed="false">
      <c r="A1382" s="8" t="s">
        <v>4468</v>
      </c>
      <c r="B1382" s="8" t="s">
        <v>4469</v>
      </c>
      <c r="C1382" s="8" t="n">
        <v>2010</v>
      </c>
      <c r="D1382" s="8" t="s">
        <v>58</v>
      </c>
      <c r="E1382" s="8" t="s">
        <v>4470</v>
      </c>
      <c r="F1382" s="8" t="s">
        <v>782</v>
      </c>
      <c r="G1382" s="8" t="s">
        <v>801</v>
      </c>
      <c r="H1382" s="8" t="s">
        <v>802</v>
      </c>
    </row>
    <row r="1383" customFormat="false" ht="15" hidden="false" customHeight="false" outlineLevel="0" collapsed="false">
      <c r="A1383" s="8" t="s">
        <v>4471</v>
      </c>
      <c r="B1383" s="8" t="s">
        <v>4472</v>
      </c>
      <c r="C1383" s="8" t="n">
        <v>2017</v>
      </c>
      <c r="D1383" s="8" t="s">
        <v>58</v>
      </c>
      <c r="E1383" s="8" t="s">
        <v>4473</v>
      </c>
      <c r="F1383" s="8" t="s">
        <v>782</v>
      </c>
      <c r="G1383" s="8" t="s">
        <v>783</v>
      </c>
      <c r="H1383" s="8" t="s">
        <v>861</v>
      </c>
    </row>
    <row r="1384" customFormat="false" ht="15" hidden="false" customHeight="false" outlineLevel="0" collapsed="false">
      <c r="A1384" s="8" t="s">
        <v>4474</v>
      </c>
      <c r="B1384" s="8" t="s">
        <v>4475</v>
      </c>
      <c r="C1384" s="8" t="n">
        <v>2015</v>
      </c>
      <c r="D1384" s="8" t="s">
        <v>58</v>
      </c>
      <c r="E1384" s="8"/>
      <c r="F1384" s="8" t="s">
        <v>782</v>
      </c>
      <c r="G1384" s="8" t="s">
        <v>783</v>
      </c>
      <c r="H1384" s="8" t="s">
        <v>784</v>
      </c>
    </row>
    <row r="1385" customFormat="false" ht="15" hidden="false" customHeight="false" outlineLevel="0" collapsed="false">
      <c r="A1385" s="8" t="s">
        <v>712</v>
      </c>
      <c r="B1385" s="8" t="s">
        <v>714</v>
      </c>
      <c r="C1385" s="8" t="n">
        <v>2015</v>
      </c>
      <c r="D1385" s="8" t="s">
        <v>58</v>
      </c>
      <c r="E1385" s="8" t="s">
        <v>716</v>
      </c>
      <c r="F1385" s="8" t="s">
        <v>852</v>
      </c>
      <c r="G1385" s="8" t="s">
        <v>853</v>
      </c>
      <c r="H1385" s="8" t="s">
        <v>854</v>
      </c>
    </row>
    <row r="1386" customFormat="false" ht="15" hidden="false" customHeight="false" outlineLevel="0" collapsed="false">
      <c r="A1386" s="8" t="s">
        <v>4476</v>
      </c>
      <c r="B1386" s="8" t="s">
        <v>4477</v>
      </c>
      <c r="C1386" s="8" t="n">
        <v>2011</v>
      </c>
      <c r="D1386" s="8" t="s">
        <v>58</v>
      </c>
      <c r="E1386" s="8" t="s">
        <v>4478</v>
      </c>
      <c r="F1386" s="8" t="s">
        <v>782</v>
      </c>
      <c r="G1386" s="8" t="s">
        <v>783</v>
      </c>
      <c r="H1386" s="8" t="s">
        <v>784</v>
      </c>
    </row>
    <row r="1387" customFormat="false" ht="15" hidden="false" customHeight="false" outlineLevel="0" collapsed="false">
      <c r="A1387" s="8" t="s">
        <v>4479</v>
      </c>
      <c r="B1387" s="8" t="s">
        <v>4480</v>
      </c>
      <c r="C1387" s="8" t="n">
        <v>2010</v>
      </c>
      <c r="D1387" s="8" t="s">
        <v>58</v>
      </c>
      <c r="E1387" s="8" t="s">
        <v>4481</v>
      </c>
      <c r="F1387" s="8" t="s">
        <v>782</v>
      </c>
      <c r="G1387" s="8" t="s">
        <v>801</v>
      </c>
      <c r="H1387" s="8" t="s">
        <v>915</v>
      </c>
    </row>
    <row r="1388" customFormat="false" ht="15" hidden="false" customHeight="false" outlineLevel="0" collapsed="false">
      <c r="A1388" s="8" t="s">
        <v>4482</v>
      </c>
      <c r="B1388" s="8" t="s">
        <v>4483</v>
      </c>
      <c r="C1388" s="8" t="n">
        <v>2018</v>
      </c>
      <c r="D1388" s="8" t="s">
        <v>58</v>
      </c>
      <c r="E1388" s="8" t="s">
        <v>4484</v>
      </c>
      <c r="F1388" s="8" t="s">
        <v>782</v>
      </c>
      <c r="G1388" s="8" t="s">
        <v>783</v>
      </c>
      <c r="H1388" s="8" t="s">
        <v>784</v>
      </c>
    </row>
    <row r="1389" customFormat="false" ht="15" hidden="false" customHeight="false" outlineLevel="0" collapsed="false">
      <c r="A1389" s="8" t="s">
        <v>4485</v>
      </c>
      <c r="B1389" s="8" t="s">
        <v>4486</v>
      </c>
      <c r="C1389" s="8" t="n">
        <v>2015</v>
      </c>
      <c r="D1389" s="8" t="s">
        <v>58</v>
      </c>
      <c r="E1389" s="8" t="s">
        <v>4487</v>
      </c>
      <c r="F1389" s="8" t="s">
        <v>782</v>
      </c>
      <c r="G1389" s="8" t="s">
        <v>783</v>
      </c>
      <c r="H1389" s="8" t="s">
        <v>784</v>
      </c>
    </row>
    <row r="1390" customFormat="false" ht="15" hidden="false" customHeight="false" outlineLevel="0" collapsed="false">
      <c r="A1390" s="8" t="s">
        <v>4488</v>
      </c>
      <c r="B1390" s="8" t="s">
        <v>4489</v>
      </c>
      <c r="C1390" s="8" t="n">
        <v>2013</v>
      </c>
      <c r="D1390" s="8" t="s">
        <v>83</v>
      </c>
      <c r="E1390" s="8" t="s">
        <v>4490</v>
      </c>
      <c r="F1390" s="8" t="s">
        <v>782</v>
      </c>
      <c r="G1390" s="8" t="s">
        <v>783</v>
      </c>
      <c r="H1390" s="8" t="s">
        <v>784</v>
      </c>
    </row>
    <row r="1391" customFormat="false" ht="15" hidden="false" customHeight="false" outlineLevel="0" collapsed="false">
      <c r="A1391" s="8" t="s">
        <v>4491</v>
      </c>
      <c r="B1391" s="8" t="s">
        <v>4492</v>
      </c>
      <c r="C1391" s="8" t="n">
        <v>2019</v>
      </c>
      <c r="D1391" s="8" t="s">
        <v>58</v>
      </c>
      <c r="E1391" s="8" t="s">
        <v>4493</v>
      </c>
      <c r="F1391" s="8" t="s">
        <v>782</v>
      </c>
      <c r="G1391" s="8" t="s">
        <v>801</v>
      </c>
      <c r="H1391" s="8" t="s">
        <v>802</v>
      </c>
    </row>
    <row r="1392" customFormat="false" ht="15" hidden="false" customHeight="false" outlineLevel="0" collapsed="false">
      <c r="A1392" s="8" t="s">
        <v>4494</v>
      </c>
      <c r="B1392" s="8" t="s">
        <v>4495</v>
      </c>
      <c r="C1392" s="8" t="n">
        <v>2016</v>
      </c>
      <c r="D1392" s="8" t="s">
        <v>58</v>
      </c>
      <c r="E1392" s="8" t="s">
        <v>4496</v>
      </c>
      <c r="F1392" s="8" t="s">
        <v>782</v>
      </c>
      <c r="G1392" s="8" t="s">
        <v>783</v>
      </c>
      <c r="H1392" s="8" t="s">
        <v>784</v>
      </c>
    </row>
    <row r="1393" customFormat="false" ht="15" hidden="false" customHeight="false" outlineLevel="0" collapsed="false">
      <c r="A1393" s="8" t="s">
        <v>4497</v>
      </c>
      <c r="B1393" s="8" t="s">
        <v>4498</v>
      </c>
      <c r="C1393" s="8" t="n">
        <v>2016</v>
      </c>
      <c r="D1393" s="8" t="s">
        <v>90</v>
      </c>
      <c r="E1393" s="8" t="s">
        <v>4499</v>
      </c>
      <c r="F1393" s="8" t="s">
        <v>782</v>
      </c>
      <c r="G1393" s="8" t="s">
        <v>783</v>
      </c>
      <c r="H1393" s="8" t="s">
        <v>784</v>
      </c>
    </row>
    <row r="1394" customFormat="false" ht="15" hidden="false" customHeight="false" outlineLevel="0" collapsed="false">
      <c r="A1394" s="8" t="s">
        <v>4500</v>
      </c>
      <c r="B1394" s="8" t="s">
        <v>4501</v>
      </c>
      <c r="C1394" s="8" t="n">
        <v>2013</v>
      </c>
      <c r="D1394" s="8" t="s">
        <v>58</v>
      </c>
      <c r="E1394" s="8"/>
      <c r="F1394" s="8" t="s">
        <v>782</v>
      </c>
      <c r="G1394" s="8" t="s">
        <v>783</v>
      </c>
      <c r="H1394" s="8" t="s">
        <v>784</v>
      </c>
    </row>
    <row r="1395" customFormat="false" ht="15" hidden="false" customHeight="false" outlineLevel="0" collapsed="false">
      <c r="A1395" s="8" t="s">
        <v>4502</v>
      </c>
      <c r="B1395" s="8" t="s">
        <v>4503</v>
      </c>
      <c r="C1395" s="8" t="n">
        <v>2010</v>
      </c>
      <c r="D1395" s="8" t="s">
        <v>83</v>
      </c>
      <c r="E1395" s="8" t="s">
        <v>4504</v>
      </c>
      <c r="F1395" s="8" t="s">
        <v>782</v>
      </c>
      <c r="G1395" s="8" t="s">
        <v>801</v>
      </c>
      <c r="H1395" s="8" t="s">
        <v>915</v>
      </c>
    </row>
    <row r="1396" customFormat="false" ht="15" hidden="false" customHeight="false" outlineLevel="0" collapsed="false">
      <c r="A1396" s="8" t="s">
        <v>4505</v>
      </c>
      <c r="B1396" s="8" t="s">
        <v>4506</v>
      </c>
      <c r="C1396" s="8" t="n">
        <v>2015</v>
      </c>
      <c r="D1396" s="8" t="s">
        <v>58</v>
      </c>
      <c r="E1396" s="8" t="s">
        <v>4507</v>
      </c>
      <c r="F1396" s="8" t="s">
        <v>782</v>
      </c>
      <c r="G1396" s="8" t="s">
        <v>783</v>
      </c>
      <c r="H1396" s="8" t="s">
        <v>784</v>
      </c>
    </row>
    <row r="1397" customFormat="false" ht="15" hidden="false" customHeight="false" outlineLevel="0" collapsed="false">
      <c r="A1397" s="8" t="s">
        <v>4508</v>
      </c>
      <c r="B1397" s="8" t="s">
        <v>4509</v>
      </c>
      <c r="C1397" s="8" t="n">
        <v>2015</v>
      </c>
      <c r="D1397" s="8" t="s">
        <v>58</v>
      </c>
      <c r="E1397" s="8" t="s">
        <v>4510</v>
      </c>
      <c r="F1397" s="8" t="s">
        <v>782</v>
      </c>
      <c r="G1397" s="8" t="s">
        <v>783</v>
      </c>
      <c r="H1397" s="8" t="s">
        <v>784</v>
      </c>
    </row>
    <row r="1398" customFormat="false" ht="15" hidden="false" customHeight="false" outlineLevel="0" collapsed="false">
      <c r="A1398" s="8" t="s">
        <v>4511</v>
      </c>
      <c r="B1398" s="8" t="s">
        <v>4512</v>
      </c>
      <c r="C1398" s="8" t="n">
        <v>2018</v>
      </c>
      <c r="D1398" s="8" t="s">
        <v>58</v>
      </c>
      <c r="E1398" s="8" t="s">
        <v>4513</v>
      </c>
      <c r="F1398" s="8" t="s">
        <v>782</v>
      </c>
      <c r="G1398" s="8" t="s">
        <v>783</v>
      </c>
      <c r="H1398" s="8" t="s">
        <v>861</v>
      </c>
    </row>
    <row r="1399" customFormat="false" ht="15" hidden="false" customHeight="false" outlineLevel="0" collapsed="false">
      <c r="A1399" s="8" t="s">
        <v>4514</v>
      </c>
      <c r="B1399" s="8" t="s">
        <v>4515</v>
      </c>
      <c r="C1399" s="8" t="n">
        <v>2011</v>
      </c>
      <c r="D1399" s="8" t="s">
        <v>83</v>
      </c>
      <c r="E1399" s="8"/>
      <c r="F1399" s="8" t="s">
        <v>782</v>
      </c>
      <c r="G1399" s="8" t="s">
        <v>783</v>
      </c>
      <c r="H1399" s="8" t="s">
        <v>784</v>
      </c>
    </row>
    <row r="1400" customFormat="false" ht="15" hidden="false" customHeight="false" outlineLevel="0" collapsed="false">
      <c r="A1400" s="8" t="s">
        <v>4516</v>
      </c>
      <c r="B1400" s="8" t="s">
        <v>4517</v>
      </c>
      <c r="C1400" s="8" t="n">
        <v>2018</v>
      </c>
      <c r="D1400" s="8" t="s">
        <v>58</v>
      </c>
      <c r="E1400" s="8"/>
      <c r="F1400" s="8" t="s">
        <v>782</v>
      </c>
      <c r="G1400" s="8" t="s">
        <v>783</v>
      </c>
      <c r="H1400" s="8" t="s">
        <v>784</v>
      </c>
    </row>
    <row r="1401" customFormat="false" ht="15" hidden="false" customHeight="false" outlineLevel="0" collapsed="false">
      <c r="A1401" s="8" t="s">
        <v>4518</v>
      </c>
      <c r="B1401" s="8" t="s">
        <v>4519</v>
      </c>
      <c r="C1401" s="8" t="n">
        <v>2012</v>
      </c>
      <c r="D1401" s="8" t="s">
        <v>58</v>
      </c>
      <c r="E1401" s="8"/>
      <c r="F1401" s="8" t="s">
        <v>782</v>
      </c>
      <c r="G1401" s="8" t="s">
        <v>783</v>
      </c>
      <c r="H1401" s="8" t="s">
        <v>861</v>
      </c>
    </row>
    <row r="1402" customFormat="false" ht="15" hidden="false" customHeight="false" outlineLevel="0" collapsed="false">
      <c r="A1402" s="8" t="s">
        <v>4520</v>
      </c>
      <c r="B1402" s="8" t="s">
        <v>4521</v>
      </c>
      <c r="C1402" s="8" t="n">
        <v>2011</v>
      </c>
      <c r="D1402" s="8" t="s">
        <v>58</v>
      </c>
      <c r="E1402" s="8" t="s">
        <v>4522</v>
      </c>
      <c r="F1402" s="8" t="s">
        <v>782</v>
      </c>
      <c r="G1402" s="8" t="s">
        <v>783</v>
      </c>
      <c r="H1402" s="8" t="s">
        <v>784</v>
      </c>
    </row>
    <row r="1403" customFormat="false" ht="15" hidden="false" customHeight="false" outlineLevel="0" collapsed="false">
      <c r="A1403" s="8" t="s">
        <v>4523</v>
      </c>
      <c r="B1403" s="8" t="s">
        <v>4524</v>
      </c>
      <c r="C1403" s="8" t="n">
        <v>2017</v>
      </c>
      <c r="D1403" s="8" t="s">
        <v>58</v>
      </c>
      <c r="E1403" s="8" t="s">
        <v>4525</v>
      </c>
      <c r="F1403" s="8" t="s">
        <v>782</v>
      </c>
      <c r="G1403" s="8" t="s">
        <v>783</v>
      </c>
      <c r="H1403" s="8" t="s">
        <v>784</v>
      </c>
    </row>
    <row r="1404" customFormat="false" ht="15" hidden="false" customHeight="false" outlineLevel="0" collapsed="false">
      <c r="A1404" s="8" t="s">
        <v>4526</v>
      </c>
      <c r="B1404" s="8" t="s">
        <v>4527</v>
      </c>
      <c r="C1404" s="8" t="n">
        <v>2018</v>
      </c>
      <c r="D1404" s="8" t="s">
        <v>58</v>
      </c>
      <c r="E1404" s="8" t="s">
        <v>4528</v>
      </c>
      <c r="F1404" s="8" t="s">
        <v>782</v>
      </c>
      <c r="G1404" s="8" t="s">
        <v>783</v>
      </c>
      <c r="H1404" s="8" t="s">
        <v>784</v>
      </c>
    </row>
    <row r="1405" customFormat="false" ht="15" hidden="false" customHeight="false" outlineLevel="0" collapsed="false">
      <c r="A1405" s="8" t="s">
        <v>4529</v>
      </c>
      <c r="B1405" s="8" t="s">
        <v>4530</v>
      </c>
      <c r="C1405" s="8" t="n">
        <v>2014</v>
      </c>
      <c r="D1405" s="8" t="s">
        <v>58</v>
      </c>
      <c r="E1405" s="8" t="s">
        <v>4531</v>
      </c>
      <c r="F1405" s="8" t="s">
        <v>782</v>
      </c>
      <c r="G1405" s="8" t="s">
        <v>783</v>
      </c>
      <c r="H1405" s="8" t="s">
        <v>784</v>
      </c>
    </row>
    <row r="1406" customFormat="false" ht="15" hidden="false" customHeight="false" outlineLevel="0" collapsed="false">
      <c r="A1406" s="8" t="s">
        <v>4532</v>
      </c>
      <c r="B1406" s="8" t="s">
        <v>4533</v>
      </c>
      <c r="C1406" s="8" t="n">
        <v>2016</v>
      </c>
      <c r="D1406" s="8" t="s">
        <v>58</v>
      </c>
      <c r="E1406" s="8" t="s">
        <v>4534</v>
      </c>
      <c r="F1406" s="8" t="s">
        <v>782</v>
      </c>
      <c r="G1406" s="8" t="s">
        <v>783</v>
      </c>
      <c r="H1406" s="8" t="s">
        <v>784</v>
      </c>
    </row>
    <row r="1407" customFormat="false" ht="15" hidden="false" customHeight="false" outlineLevel="0" collapsed="false">
      <c r="A1407" s="8" t="s">
        <v>4535</v>
      </c>
      <c r="B1407" s="8" t="s">
        <v>4536</v>
      </c>
      <c r="C1407" s="8" t="n">
        <v>2010</v>
      </c>
      <c r="D1407" s="8" t="s">
        <v>58</v>
      </c>
      <c r="E1407" s="8" t="s">
        <v>4537</v>
      </c>
      <c r="F1407" s="8" t="s">
        <v>782</v>
      </c>
      <c r="G1407" s="8" t="s">
        <v>783</v>
      </c>
      <c r="H1407" s="8" t="s">
        <v>784</v>
      </c>
    </row>
    <row r="1408" customFormat="false" ht="15" hidden="false" customHeight="false" outlineLevel="0" collapsed="false">
      <c r="A1408" s="8" t="s">
        <v>4538</v>
      </c>
      <c r="B1408" s="8" t="s">
        <v>4539</v>
      </c>
      <c r="C1408" s="8" t="n">
        <v>2010</v>
      </c>
      <c r="D1408" s="8" t="s">
        <v>58</v>
      </c>
      <c r="E1408" s="8"/>
      <c r="F1408" s="8" t="s">
        <v>782</v>
      </c>
      <c r="G1408" s="8" t="s">
        <v>801</v>
      </c>
      <c r="H1408" s="8" t="s">
        <v>802</v>
      </c>
    </row>
    <row r="1409" customFormat="false" ht="15" hidden="false" customHeight="false" outlineLevel="0" collapsed="false">
      <c r="A1409" s="8" t="s">
        <v>4540</v>
      </c>
      <c r="B1409" s="8" t="s">
        <v>4541</v>
      </c>
      <c r="C1409" s="8" t="n">
        <v>2017</v>
      </c>
      <c r="D1409" s="8" t="s">
        <v>58</v>
      </c>
      <c r="E1409" s="8" t="s">
        <v>4542</v>
      </c>
      <c r="F1409" s="8" t="s">
        <v>782</v>
      </c>
      <c r="G1409" s="8" t="s">
        <v>783</v>
      </c>
      <c r="H1409" s="8" t="s">
        <v>784</v>
      </c>
    </row>
    <row r="1410" customFormat="false" ht="15" hidden="false" customHeight="false" outlineLevel="0" collapsed="false">
      <c r="A1410" s="8" t="s">
        <v>4543</v>
      </c>
      <c r="B1410" s="8" t="s">
        <v>4544</v>
      </c>
      <c r="C1410" s="8" t="n">
        <v>2018</v>
      </c>
      <c r="D1410" s="8" t="s">
        <v>58</v>
      </c>
      <c r="E1410" s="8"/>
      <c r="F1410" s="8" t="s">
        <v>782</v>
      </c>
      <c r="G1410" s="8" t="s">
        <v>783</v>
      </c>
      <c r="H1410" s="8" t="s">
        <v>784</v>
      </c>
    </row>
    <row r="1411" customFormat="false" ht="15" hidden="false" customHeight="false" outlineLevel="0" collapsed="false">
      <c r="A1411" s="8" t="s">
        <v>4545</v>
      </c>
      <c r="B1411" s="8" t="s">
        <v>4546</v>
      </c>
      <c r="C1411" s="8" t="n">
        <v>2015</v>
      </c>
      <c r="D1411" s="8" t="s">
        <v>58</v>
      </c>
      <c r="E1411" s="8" t="s">
        <v>4547</v>
      </c>
      <c r="F1411" s="8" t="s">
        <v>782</v>
      </c>
      <c r="G1411" s="8" t="s">
        <v>783</v>
      </c>
      <c r="H1411" s="8" t="s">
        <v>784</v>
      </c>
    </row>
    <row r="1412" customFormat="false" ht="15" hidden="false" customHeight="false" outlineLevel="0" collapsed="false">
      <c r="A1412" s="8" t="s">
        <v>4548</v>
      </c>
      <c r="B1412" s="8" t="s">
        <v>4549</v>
      </c>
      <c r="C1412" s="8" t="n">
        <v>2010</v>
      </c>
      <c r="D1412" s="8" t="s">
        <v>58</v>
      </c>
      <c r="E1412" s="8"/>
      <c r="F1412" s="8" t="s">
        <v>782</v>
      </c>
      <c r="G1412" s="8" t="s">
        <v>783</v>
      </c>
      <c r="H1412" s="8" t="s">
        <v>784</v>
      </c>
    </row>
    <row r="1413" customFormat="false" ht="15" hidden="false" customHeight="false" outlineLevel="0" collapsed="false">
      <c r="A1413" s="8" t="s">
        <v>4550</v>
      </c>
      <c r="B1413" s="8" t="s">
        <v>4551</v>
      </c>
      <c r="C1413" s="8" t="n">
        <v>2012</v>
      </c>
      <c r="D1413" s="8" t="s">
        <v>58</v>
      </c>
      <c r="E1413" s="8" t="s">
        <v>4552</v>
      </c>
      <c r="F1413" s="8" t="s">
        <v>782</v>
      </c>
      <c r="G1413" s="8" t="s">
        <v>783</v>
      </c>
      <c r="H1413" s="8" t="s">
        <v>784</v>
      </c>
    </row>
    <row r="1414" customFormat="false" ht="15" hidden="false" customHeight="false" outlineLevel="0" collapsed="false">
      <c r="A1414" s="8" t="s">
        <v>4553</v>
      </c>
      <c r="B1414" s="8" t="s">
        <v>4554</v>
      </c>
      <c r="C1414" s="8" t="n">
        <v>2010</v>
      </c>
      <c r="D1414" s="8" t="s">
        <v>58</v>
      </c>
      <c r="E1414" s="8" t="s">
        <v>4555</v>
      </c>
      <c r="F1414" s="8" t="s">
        <v>782</v>
      </c>
      <c r="G1414" s="8" t="s">
        <v>801</v>
      </c>
      <c r="H1414" s="8" t="s">
        <v>802</v>
      </c>
    </row>
    <row r="1415" customFormat="false" ht="15" hidden="false" customHeight="false" outlineLevel="0" collapsed="false">
      <c r="A1415" s="8" t="s">
        <v>4556</v>
      </c>
      <c r="B1415" s="8" t="s">
        <v>4557</v>
      </c>
      <c r="C1415" s="8" t="n">
        <v>2017</v>
      </c>
      <c r="D1415" s="8" t="s">
        <v>58</v>
      </c>
      <c r="E1415" s="8" t="s">
        <v>4558</v>
      </c>
      <c r="F1415" s="8" t="s">
        <v>782</v>
      </c>
      <c r="G1415" s="8" t="s">
        <v>783</v>
      </c>
      <c r="H1415" s="8" t="s">
        <v>784</v>
      </c>
    </row>
    <row r="1416" customFormat="false" ht="15" hidden="false" customHeight="false" outlineLevel="0" collapsed="false">
      <c r="A1416" s="8" t="s">
        <v>4559</v>
      </c>
      <c r="B1416" s="8" t="s">
        <v>4560</v>
      </c>
      <c r="C1416" s="8" t="n">
        <v>2019</v>
      </c>
      <c r="D1416" s="8" t="s">
        <v>58</v>
      </c>
      <c r="E1416" s="8" t="s">
        <v>4561</v>
      </c>
      <c r="F1416" s="8" t="s">
        <v>782</v>
      </c>
      <c r="G1416" s="8" t="s">
        <v>783</v>
      </c>
      <c r="H1416" s="8" t="s">
        <v>861</v>
      </c>
    </row>
    <row r="1417" customFormat="false" ht="15" hidden="false" customHeight="false" outlineLevel="0" collapsed="false">
      <c r="A1417" s="8" t="s">
        <v>4562</v>
      </c>
      <c r="B1417" s="8" t="s">
        <v>4563</v>
      </c>
      <c r="C1417" s="8" t="n">
        <v>2010</v>
      </c>
      <c r="D1417" s="8" t="s">
        <v>58</v>
      </c>
      <c r="E1417" s="8" t="s">
        <v>4564</v>
      </c>
      <c r="F1417" s="8" t="s">
        <v>782</v>
      </c>
      <c r="G1417" s="8" t="s">
        <v>783</v>
      </c>
      <c r="H1417" s="8" t="s">
        <v>784</v>
      </c>
    </row>
    <row r="1418" customFormat="false" ht="15" hidden="false" customHeight="false" outlineLevel="0" collapsed="false">
      <c r="A1418" s="8" t="s">
        <v>4565</v>
      </c>
      <c r="B1418" s="8" t="s">
        <v>4566</v>
      </c>
      <c r="C1418" s="8" t="n">
        <v>2018</v>
      </c>
      <c r="D1418" s="8" t="s">
        <v>58</v>
      </c>
      <c r="E1418" s="8" t="s">
        <v>4567</v>
      </c>
      <c r="F1418" s="8" t="s">
        <v>782</v>
      </c>
      <c r="G1418" s="8" t="s">
        <v>783</v>
      </c>
      <c r="H1418" s="8" t="s">
        <v>784</v>
      </c>
    </row>
    <row r="1419" customFormat="false" ht="15" hidden="false" customHeight="false" outlineLevel="0" collapsed="false">
      <c r="A1419" s="8" t="s">
        <v>4568</v>
      </c>
      <c r="B1419" s="8" t="s">
        <v>4569</v>
      </c>
      <c r="C1419" s="8" t="n">
        <v>2014</v>
      </c>
      <c r="D1419" s="8" t="s">
        <v>58</v>
      </c>
      <c r="E1419" s="8"/>
      <c r="F1419" s="8" t="s">
        <v>782</v>
      </c>
      <c r="G1419" s="8" t="s">
        <v>966</v>
      </c>
      <c r="H1419" s="8" t="s">
        <v>967</v>
      </c>
    </row>
    <row r="1420" customFormat="false" ht="15" hidden="false" customHeight="false" outlineLevel="0" collapsed="false">
      <c r="A1420" s="8" t="s">
        <v>4570</v>
      </c>
      <c r="B1420" s="8" t="s">
        <v>4571</v>
      </c>
      <c r="C1420" s="8" t="n">
        <v>2012</v>
      </c>
      <c r="D1420" s="8" t="s">
        <v>58</v>
      </c>
      <c r="E1420" s="8"/>
      <c r="F1420" s="8" t="s">
        <v>782</v>
      </c>
      <c r="G1420" s="8" t="s">
        <v>801</v>
      </c>
      <c r="H1420" s="8" t="s">
        <v>802</v>
      </c>
    </row>
    <row r="1421" customFormat="false" ht="15" hidden="false" customHeight="false" outlineLevel="0" collapsed="false">
      <c r="A1421" s="8" t="s">
        <v>4572</v>
      </c>
      <c r="B1421" s="8" t="s">
        <v>4573</v>
      </c>
      <c r="C1421" s="8" t="n">
        <v>2012</v>
      </c>
      <c r="D1421" s="8" t="s">
        <v>58</v>
      </c>
      <c r="E1421" s="8" t="s">
        <v>4574</v>
      </c>
      <c r="F1421" s="8" t="s">
        <v>782</v>
      </c>
      <c r="G1421" s="8" t="s">
        <v>783</v>
      </c>
      <c r="H1421" s="8" t="s">
        <v>784</v>
      </c>
    </row>
    <row r="1422" customFormat="false" ht="15" hidden="false" customHeight="false" outlineLevel="0" collapsed="false">
      <c r="A1422" s="8" t="s">
        <v>4575</v>
      </c>
      <c r="B1422" s="8" t="s">
        <v>4576</v>
      </c>
      <c r="C1422" s="8" t="n">
        <v>2011</v>
      </c>
      <c r="D1422" s="8" t="s">
        <v>58</v>
      </c>
      <c r="E1422" s="8" t="s">
        <v>4577</v>
      </c>
      <c r="F1422" s="8" t="s">
        <v>782</v>
      </c>
      <c r="G1422" s="8" t="s">
        <v>783</v>
      </c>
      <c r="H1422" s="8" t="s">
        <v>784</v>
      </c>
    </row>
    <row r="1423" customFormat="false" ht="15" hidden="false" customHeight="false" outlineLevel="0" collapsed="false">
      <c r="A1423" s="8" t="s">
        <v>4578</v>
      </c>
      <c r="B1423" s="8" t="s">
        <v>4579</v>
      </c>
      <c r="C1423" s="8" t="n">
        <v>2014</v>
      </c>
      <c r="D1423" s="8" t="s">
        <v>58</v>
      </c>
      <c r="E1423" s="8" t="s">
        <v>4580</v>
      </c>
      <c r="F1423" s="8" t="s">
        <v>782</v>
      </c>
      <c r="G1423" s="8" t="s">
        <v>801</v>
      </c>
      <c r="H1423" s="8" t="s">
        <v>802</v>
      </c>
    </row>
    <row r="1424" customFormat="false" ht="15" hidden="false" customHeight="false" outlineLevel="0" collapsed="false">
      <c r="A1424" s="8" t="s">
        <v>4581</v>
      </c>
      <c r="B1424" s="8" t="s">
        <v>4582</v>
      </c>
      <c r="C1424" s="8" t="n">
        <v>2011</v>
      </c>
      <c r="D1424" s="8" t="s">
        <v>83</v>
      </c>
      <c r="E1424" s="8" t="s">
        <v>4583</v>
      </c>
      <c r="F1424" s="8" t="s">
        <v>782</v>
      </c>
      <c r="G1424" s="8" t="s">
        <v>801</v>
      </c>
      <c r="H1424" s="8" t="s">
        <v>915</v>
      </c>
    </row>
    <row r="1425" customFormat="false" ht="15" hidden="false" customHeight="false" outlineLevel="0" collapsed="false">
      <c r="A1425" s="8" t="s">
        <v>4584</v>
      </c>
      <c r="B1425" s="8" t="s">
        <v>4585</v>
      </c>
      <c r="C1425" s="8" t="n">
        <v>2011</v>
      </c>
      <c r="D1425" s="8" t="s">
        <v>83</v>
      </c>
      <c r="E1425" s="8" t="s">
        <v>4586</v>
      </c>
      <c r="F1425" s="8" t="s">
        <v>782</v>
      </c>
      <c r="G1425" s="8" t="s">
        <v>783</v>
      </c>
      <c r="H1425" s="8" t="s">
        <v>784</v>
      </c>
    </row>
    <row r="1426" customFormat="false" ht="15" hidden="false" customHeight="false" outlineLevel="0" collapsed="false">
      <c r="A1426" s="8" t="s">
        <v>4587</v>
      </c>
      <c r="B1426" s="8" t="s">
        <v>4588</v>
      </c>
      <c r="C1426" s="8" t="n">
        <v>2017</v>
      </c>
      <c r="D1426" s="8" t="s">
        <v>58</v>
      </c>
      <c r="E1426" s="8" t="s">
        <v>4589</v>
      </c>
      <c r="F1426" s="8" t="s">
        <v>782</v>
      </c>
      <c r="G1426" s="8" t="s">
        <v>783</v>
      </c>
      <c r="H1426" s="8" t="s">
        <v>784</v>
      </c>
    </row>
    <row r="1427" customFormat="false" ht="15" hidden="false" customHeight="false" outlineLevel="0" collapsed="false">
      <c r="A1427" s="8" t="s">
        <v>4590</v>
      </c>
      <c r="B1427" s="8" t="s">
        <v>4591</v>
      </c>
      <c r="C1427" s="8" t="n">
        <v>2015</v>
      </c>
      <c r="D1427" s="8" t="s">
        <v>58</v>
      </c>
      <c r="E1427" s="8"/>
      <c r="F1427" s="8" t="s">
        <v>782</v>
      </c>
      <c r="G1427" s="8" t="s">
        <v>783</v>
      </c>
      <c r="H1427" s="8" t="s">
        <v>784</v>
      </c>
    </row>
    <row r="1428" customFormat="false" ht="15" hidden="false" customHeight="false" outlineLevel="0" collapsed="false">
      <c r="A1428" s="8" t="s">
        <v>4592</v>
      </c>
      <c r="B1428" s="8" t="s">
        <v>4593</v>
      </c>
      <c r="C1428" s="8" t="n">
        <v>2010</v>
      </c>
      <c r="D1428" s="8" t="s">
        <v>58</v>
      </c>
      <c r="E1428" s="8"/>
      <c r="F1428" s="8" t="s">
        <v>782</v>
      </c>
      <c r="G1428" s="8" t="s">
        <v>783</v>
      </c>
      <c r="H1428" s="8" t="s">
        <v>861</v>
      </c>
    </row>
    <row r="1429" customFormat="false" ht="15" hidden="false" customHeight="false" outlineLevel="0" collapsed="false">
      <c r="A1429" s="8" t="s">
        <v>4594</v>
      </c>
      <c r="B1429" s="8" t="s">
        <v>4595</v>
      </c>
      <c r="C1429" s="8" t="n">
        <v>2008</v>
      </c>
      <c r="D1429" s="8" t="s">
        <v>58</v>
      </c>
      <c r="E1429" s="8" t="s">
        <v>4596</v>
      </c>
      <c r="F1429" s="8" t="s">
        <v>782</v>
      </c>
      <c r="G1429" s="8" t="s">
        <v>801</v>
      </c>
      <c r="H1429" s="8" t="s">
        <v>915</v>
      </c>
    </row>
    <row r="1430" customFormat="false" ht="15" hidden="false" customHeight="false" outlineLevel="0" collapsed="false">
      <c r="A1430" s="8" t="s">
        <v>4597</v>
      </c>
      <c r="B1430" s="8" t="s">
        <v>4598</v>
      </c>
      <c r="C1430" s="8" t="n">
        <v>2009</v>
      </c>
      <c r="D1430" s="8" t="s">
        <v>58</v>
      </c>
      <c r="E1430" s="8" t="s">
        <v>4599</v>
      </c>
      <c r="F1430" s="8" t="s">
        <v>782</v>
      </c>
      <c r="G1430" s="8" t="s">
        <v>801</v>
      </c>
      <c r="H1430" s="8" t="s">
        <v>915</v>
      </c>
    </row>
    <row r="1431" customFormat="false" ht="15" hidden="false" customHeight="false" outlineLevel="0" collapsed="false">
      <c r="A1431" s="8" t="s">
        <v>4600</v>
      </c>
      <c r="B1431" s="8" t="s">
        <v>4601</v>
      </c>
      <c r="C1431" s="8" t="n">
        <v>2008</v>
      </c>
      <c r="D1431" s="8" t="s">
        <v>58</v>
      </c>
      <c r="E1431" s="8" t="s">
        <v>4602</v>
      </c>
      <c r="F1431" s="8" t="s">
        <v>782</v>
      </c>
      <c r="G1431" s="8" t="s">
        <v>783</v>
      </c>
      <c r="H1431" s="8" t="s">
        <v>784</v>
      </c>
    </row>
    <row r="1432" customFormat="false" ht="15" hidden="false" customHeight="false" outlineLevel="0" collapsed="false">
      <c r="A1432" s="8" t="s">
        <v>4603</v>
      </c>
      <c r="B1432" s="8" t="s">
        <v>4604</v>
      </c>
      <c r="C1432" s="8" t="n">
        <v>2009</v>
      </c>
      <c r="D1432" s="8" t="s">
        <v>83</v>
      </c>
      <c r="E1432" s="8" t="s">
        <v>4605</v>
      </c>
      <c r="F1432" s="8" t="s">
        <v>782</v>
      </c>
      <c r="G1432" s="8" t="s">
        <v>783</v>
      </c>
      <c r="H1432" s="8" t="s">
        <v>784</v>
      </c>
    </row>
    <row r="1433" customFormat="false" ht="15" hidden="false" customHeight="false" outlineLevel="0" collapsed="false">
      <c r="A1433" s="8" t="s">
        <v>4606</v>
      </c>
      <c r="B1433" s="8" t="s">
        <v>4607</v>
      </c>
      <c r="C1433" s="8" t="n">
        <v>2006</v>
      </c>
      <c r="D1433" s="8" t="s">
        <v>58</v>
      </c>
      <c r="E1433" s="8" t="s">
        <v>4608</v>
      </c>
      <c r="F1433" s="8" t="s">
        <v>782</v>
      </c>
      <c r="G1433" s="8" t="s">
        <v>801</v>
      </c>
      <c r="H1433" s="8" t="s">
        <v>915</v>
      </c>
    </row>
    <row r="1434" customFormat="false" ht="15" hidden="false" customHeight="false" outlineLevel="0" collapsed="false">
      <c r="A1434" s="8" t="s">
        <v>4609</v>
      </c>
      <c r="B1434" s="8" t="s">
        <v>4610</v>
      </c>
      <c r="C1434" s="8" t="n">
        <v>2009</v>
      </c>
      <c r="D1434" s="8" t="s">
        <v>58</v>
      </c>
      <c r="E1434" s="8" t="s">
        <v>4611</v>
      </c>
      <c r="F1434" s="8" t="s">
        <v>782</v>
      </c>
      <c r="G1434" s="8" t="s">
        <v>783</v>
      </c>
      <c r="H1434" s="8" t="s">
        <v>784</v>
      </c>
    </row>
    <row r="1435" customFormat="false" ht="15" hidden="false" customHeight="false" outlineLevel="0" collapsed="false">
      <c r="A1435" s="8" t="s">
        <v>4612</v>
      </c>
      <c r="B1435" s="8" t="s">
        <v>4613</v>
      </c>
      <c r="C1435" s="8" t="n">
        <v>2007</v>
      </c>
      <c r="D1435" s="8" t="s">
        <v>58</v>
      </c>
      <c r="E1435" s="8" t="s">
        <v>4614</v>
      </c>
      <c r="F1435" s="8" t="s">
        <v>782</v>
      </c>
      <c r="G1435" s="8" t="s">
        <v>801</v>
      </c>
      <c r="H1435" s="8" t="s">
        <v>915</v>
      </c>
    </row>
    <row r="1436" customFormat="false" ht="15" hidden="false" customHeight="false" outlineLevel="0" collapsed="false">
      <c r="A1436" s="8" t="s">
        <v>4615</v>
      </c>
      <c r="B1436" s="8" t="s">
        <v>4616</v>
      </c>
      <c r="C1436" s="8" t="n">
        <v>2009</v>
      </c>
      <c r="D1436" s="8" t="s">
        <v>58</v>
      </c>
      <c r="E1436" s="8" t="s">
        <v>4617</v>
      </c>
      <c r="F1436" s="8" t="s">
        <v>782</v>
      </c>
      <c r="G1436" s="8" t="s">
        <v>783</v>
      </c>
      <c r="H1436" s="8" t="s">
        <v>861</v>
      </c>
    </row>
    <row r="1437" customFormat="false" ht="15" hidden="false" customHeight="false" outlineLevel="0" collapsed="false">
      <c r="A1437" s="8" t="s">
        <v>4618</v>
      </c>
      <c r="B1437" s="8" t="s">
        <v>4619</v>
      </c>
      <c r="C1437" s="8" t="n">
        <v>2008</v>
      </c>
      <c r="D1437" s="8" t="s">
        <v>58</v>
      </c>
      <c r="E1437" s="8" t="s">
        <v>4620</v>
      </c>
      <c r="F1437" s="8" t="s">
        <v>782</v>
      </c>
      <c r="G1437" s="8" t="s">
        <v>783</v>
      </c>
      <c r="H1437" s="8" t="s">
        <v>784</v>
      </c>
    </row>
    <row r="1438" customFormat="false" ht="15" hidden="false" customHeight="false" outlineLevel="0" collapsed="false">
      <c r="A1438" s="8" t="s">
        <v>4621</v>
      </c>
      <c r="B1438" s="8" t="s">
        <v>4622</v>
      </c>
      <c r="C1438" s="8" t="n">
        <v>2008</v>
      </c>
      <c r="D1438" s="8" t="s">
        <v>58</v>
      </c>
      <c r="E1438" s="8" t="s">
        <v>4623</v>
      </c>
      <c r="F1438" s="8" t="s">
        <v>782</v>
      </c>
      <c r="G1438" s="8" t="s">
        <v>801</v>
      </c>
      <c r="H1438" s="8" t="s">
        <v>915</v>
      </c>
    </row>
    <row r="1439" customFormat="false" ht="15" hidden="false" customHeight="false" outlineLevel="0" collapsed="false">
      <c r="A1439" s="8" t="s">
        <v>4624</v>
      </c>
      <c r="B1439" s="8" t="s">
        <v>4625</v>
      </c>
      <c r="C1439" s="8" t="n">
        <v>2008</v>
      </c>
      <c r="D1439" s="8" t="s">
        <v>83</v>
      </c>
      <c r="E1439" s="8"/>
      <c r="F1439" s="8" t="s">
        <v>782</v>
      </c>
      <c r="G1439" s="8" t="s">
        <v>783</v>
      </c>
      <c r="H1439" s="8" t="s">
        <v>784</v>
      </c>
    </row>
    <row r="1440" customFormat="false" ht="15" hidden="false" customHeight="false" outlineLevel="0" collapsed="false">
      <c r="A1440" s="8" t="s">
        <v>4626</v>
      </c>
      <c r="B1440" s="8" t="s">
        <v>4627</v>
      </c>
      <c r="C1440" s="8" t="n">
        <v>2007</v>
      </c>
      <c r="D1440" s="8" t="s">
        <v>58</v>
      </c>
      <c r="E1440" s="8" t="s">
        <v>4628</v>
      </c>
      <c r="F1440" s="8" t="s">
        <v>782</v>
      </c>
      <c r="G1440" s="8" t="s">
        <v>801</v>
      </c>
      <c r="H1440" s="8" t="s">
        <v>915</v>
      </c>
    </row>
    <row r="1441" customFormat="false" ht="15" hidden="false" customHeight="false" outlineLevel="0" collapsed="false">
      <c r="A1441" s="8" t="s">
        <v>4629</v>
      </c>
      <c r="B1441" s="8" t="s">
        <v>4630</v>
      </c>
      <c r="C1441" s="8" t="n">
        <v>2008</v>
      </c>
      <c r="D1441" s="8" t="s">
        <v>58</v>
      </c>
      <c r="E1441" s="8" t="s">
        <v>4631</v>
      </c>
      <c r="F1441" s="8" t="s">
        <v>782</v>
      </c>
      <c r="G1441" s="8" t="s">
        <v>801</v>
      </c>
      <c r="H1441" s="8" t="s">
        <v>915</v>
      </c>
    </row>
    <row r="1442" customFormat="false" ht="15" hidden="false" customHeight="false" outlineLevel="0" collapsed="false">
      <c r="A1442" s="8" t="s">
        <v>4632</v>
      </c>
      <c r="B1442" s="8" t="s">
        <v>4633</v>
      </c>
      <c r="C1442" s="8" t="n">
        <v>2008</v>
      </c>
      <c r="D1442" s="8" t="s">
        <v>58</v>
      </c>
      <c r="E1442" s="8" t="s">
        <v>4634</v>
      </c>
      <c r="F1442" s="8" t="s">
        <v>782</v>
      </c>
      <c r="G1442" s="8" t="s">
        <v>783</v>
      </c>
      <c r="H1442" s="8" t="s">
        <v>784</v>
      </c>
    </row>
    <row r="1443" customFormat="false" ht="15" hidden="false" customHeight="false" outlineLevel="0" collapsed="false">
      <c r="A1443" s="8" t="s">
        <v>4635</v>
      </c>
      <c r="B1443" s="8" t="s">
        <v>4636</v>
      </c>
      <c r="C1443" s="8" t="n">
        <v>2007</v>
      </c>
      <c r="D1443" s="8" t="s">
        <v>58</v>
      </c>
      <c r="E1443" s="8" t="s">
        <v>4637</v>
      </c>
      <c r="F1443" s="8" t="s">
        <v>782</v>
      </c>
      <c r="G1443" s="8" t="s">
        <v>801</v>
      </c>
      <c r="H1443" s="8" t="s">
        <v>915</v>
      </c>
    </row>
    <row r="1444" customFormat="false" ht="15" hidden="false" customHeight="false" outlineLevel="0" collapsed="false">
      <c r="A1444" s="8" t="s">
        <v>4638</v>
      </c>
      <c r="B1444" s="8" t="s">
        <v>4639</v>
      </c>
      <c r="C1444" s="8" t="n">
        <v>2007</v>
      </c>
      <c r="D1444" s="8" t="s">
        <v>58</v>
      </c>
      <c r="E1444" s="8"/>
      <c r="F1444" s="8" t="s">
        <v>782</v>
      </c>
      <c r="G1444" s="8" t="s">
        <v>801</v>
      </c>
      <c r="H1444" s="8" t="s">
        <v>915</v>
      </c>
    </row>
    <row r="1445" customFormat="false" ht="15" hidden="false" customHeight="false" outlineLevel="0" collapsed="false">
      <c r="A1445" s="8" t="s">
        <v>4640</v>
      </c>
      <c r="B1445" s="8" t="s">
        <v>4641</v>
      </c>
      <c r="C1445" s="8" t="n">
        <v>2006</v>
      </c>
      <c r="D1445" s="8" t="s">
        <v>58</v>
      </c>
      <c r="E1445" s="8" t="s">
        <v>4642</v>
      </c>
      <c r="F1445" s="8" t="s">
        <v>782</v>
      </c>
      <c r="G1445" s="8" t="s">
        <v>783</v>
      </c>
      <c r="H1445" s="8" t="s">
        <v>784</v>
      </c>
    </row>
    <row r="1446" customFormat="false" ht="15" hidden="false" customHeight="false" outlineLevel="0" collapsed="false">
      <c r="A1446" s="8" t="s">
        <v>4643</v>
      </c>
      <c r="B1446" s="8" t="s">
        <v>4644</v>
      </c>
      <c r="C1446" s="8" t="n">
        <v>2007</v>
      </c>
      <c r="D1446" s="8" t="s">
        <v>58</v>
      </c>
      <c r="E1446" s="8" t="s">
        <v>4645</v>
      </c>
      <c r="F1446" s="8" t="s">
        <v>782</v>
      </c>
      <c r="G1446" s="8" t="s">
        <v>801</v>
      </c>
      <c r="H1446" s="8" t="s">
        <v>915</v>
      </c>
    </row>
    <row r="1447" customFormat="false" ht="15" hidden="false" customHeight="false" outlineLevel="0" collapsed="false">
      <c r="A1447" s="8" t="s">
        <v>4646</v>
      </c>
      <c r="B1447" s="8" t="s">
        <v>4647</v>
      </c>
      <c r="C1447" s="8" t="n">
        <v>2006</v>
      </c>
      <c r="D1447" s="8" t="s">
        <v>58</v>
      </c>
      <c r="E1447" s="8" t="s">
        <v>4648</v>
      </c>
      <c r="F1447" s="8" t="s">
        <v>782</v>
      </c>
      <c r="G1447" s="8" t="s">
        <v>783</v>
      </c>
      <c r="H1447" s="8" t="s">
        <v>784</v>
      </c>
    </row>
    <row r="1448" customFormat="false" ht="15" hidden="false" customHeight="false" outlineLevel="0" collapsed="false">
      <c r="A1448" s="8" t="s">
        <v>4649</v>
      </c>
      <c r="B1448" s="8" t="s">
        <v>4650</v>
      </c>
      <c r="C1448" s="8" t="n">
        <v>2006</v>
      </c>
      <c r="D1448" s="8" t="s">
        <v>58</v>
      </c>
      <c r="E1448" s="8" t="s">
        <v>4651</v>
      </c>
      <c r="F1448" s="8" t="s">
        <v>782</v>
      </c>
      <c r="G1448" s="8" t="s">
        <v>801</v>
      </c>
      <c r="H1448" s="8" t="s">
        <v>915</v>
      </c>
    </row>
    <row r="1449" customFormat="false" ht="15" hidden="false" customHeight="false" outlineLevel="0" collapsed="false">
      <c r="A1449" s="8" t="s">
        <v>4652</v>
      </c>
      <c r="B1449" s="8" t="s">
        <v>4653</v>
      </c>
      <c r="C1449" s="8" t="n">
        <v>2008</v>
      </c>
      <c r="D1449" s="8" t="s">
        <v>58</v>
      </c>
      <c r="E1449" s="8"/>
      <c r="F1449" s="8" t="s">
        <v>782</v>
      </c>
      <c r="G1449" s="8" t="s">
        <v>783</v>
      </c>
      <c r="H1449" s="8" t="s">
        <v>784</v>
      </c>
    </row>
    <row r="1450" customFormat="false" ht="15" hidden="false" customHeight="false" outlineLevel="0" collapsed="false">
      <c r="A1450" s="8" t="s">
        <v>4654</v>
      </c>
      <c r="B1450" s="8" t="s">
        <v>4655</v>
      </c>
      <c r="C1450" s="8" t="n">
        <v>2008</v>
      </c>
      <c r="D1450" s="8" t="s">
        <v>58</v>
      </c>
      <c r="E1450" s="8" t="s">
        <v>4656</v>
      </c>
      <c r="F1450" s="8" t="s">
        <v>782</v>
      </c>
      <c r="G1450" s="8" t="s">
        <v>801</v>
      </c>
      <c r="H1450" s="8" t="s">
        <v>915</v>
      </c>
    </row>
    <row r="1451" customFormat="false" ht="15" hidden="false" customHeight="false" outlineLevel="0" collapsed="false">
      <c r="A1451" s="8" t="s">
        <v>4657</v>
      </c>
      <c r="B1451" s="8" t="s">
        <v>4658</v>
      </c>
      <c r="C1451" s="8" t="n">
        <v>2006</v>
      </c>
      <c r="D1451" s="8" t="s">
        <v>58</v>
      </c>
      <c r="E1451" s="8" t="s">
        <v>4659</v>
      </c>
      <c r="F1451" s="8" t="s">
        <v>782</v>
      </c>
      <c r="G1451" s="8" t="s">
        <v>801</v>
      </c>
      <c r="H1451" s="8" t="s">
        <v>802</v>
      </c>
    </row>
    <row r="1452" customFormat="false" ht="15" hidden="false" customHeight="false" outlineLevel="0" collapsed="false">
      <c r="A1452" s="8" t="s">
        <v>4660</v>
      </c>
      <c r="B1452" s="8" t="s">
        <v>4661</v>
      </c>
      <c r="C1452" s="8" t="n">
        <v>2005</v>
      </c>
      <c r="D1452" s="8" t="s">
        <v>58</v>
      </c>
      <c r="E1452" s="8" t="s">
        <v>4662</v>
      </c>
      <c r="F1452" s="8" t="s">
        <v>782</v>
      </c>
      <c r="G1452" s="8" t="s">
        <v>783</v>
      </c>
      <c r="H1452" s="8" t="s">
        <v>784</v>
      </c>
    </row>
    <row r="1453" customFormat="false" ht="15" hidden="false" customHeight="false" outlineLevel="0" collapsed="false">
      <c r="A1453" s="8" t="s">
        <v>4663</v>
      </c>
      <c r="B1453" s="8" t="s">
        <v>4664</v>
      </c>
      <c r="C1453" s="8" t="n">
        <v>2008</v>
      </c>
      <c r="D1453" s="8" t="s">
        <v>58</v>
      </c>
      <c r="E1453" s="8"/>
      <c r="F1453" s="8" t="s">
        <v>782</v>
      </c>
      <c r="G1453" s="8" t="s">
        <v>783</v>
      </c>
      <c r="H1453" s="8" t="s">
        <v>784</v>
      </c>
    </row>
    <row r="1454" customFormat="false" ht="15" hidden="false" customHeight="false" outlineLevel="0" collapsed="false">
      <c r="A1454" s="8" t="s">
        <v>4665</v>
      </c>
      <c r="B1454" s="8" t="s">
        <v>4666</v>
      </c>
      <c r="C1454" s="8" t="n">
        <v>2007</v>
      </c>
      <c r="D1454" s="8" t="s">
        <v>58</v>
      </c>
      <c r="E1454" s="8" t="s">
        <v>4667</v>
      </c>
      <c r="F1454" s="8" t="s">
        <v>782</v>
      </c>
      <c r="G1454" s="8" t="s">
        <v>801</v>
      </c>
      <c r="H1454" s="8" t="s">
        <v>915</v>
      </c>
    </row>
    <row r="1455" customFormat="false" ht="15" hidden="false" customHeight="false" outlineLevel="0" collapsed="false">
      <c r="A1455" s="8" t="s">
        <v>4668</v>
      </c>
      <c r="B1455" s="8" t="s">
        <v>4669</v>
      </c>
      <c r="C1455" s="8" t="n">
        <v>2009</v>
      </c>
      <c r="D1455" s="8" t="s">
        <v>58</v>
      </c>
      <c r="E1455" s="8" t="s">
        <v>4670</v>
      </c>
      <c r="F1455" s="8" t="s">
        <v>782</v>
      </c>
      <c r="G1455" s="8" t="s">
        <v>801</v>
      </c>
      <c r="H1455" s="8" t="s">
        <v>915</v>
      </c>
    </row>
    <row r="1456" customFormat="false" ht="15" hidden="false" customHeight="false" outlineLevel="0" collapsed="false">
      <c r="A1456" s="8" t="s">
        <v>4671</v>
      </c>
      <c r="B1456" s="8" t="s">
        <v>4672</v>
      </c>
      <c r="C1456" s="8" t="n">
        <v>2008</v>
      </c>
      <c r="D1456" s="8" t="s">
        <v>58</v>
      </c>
      <c r="E1456" s="8" t="s">
        <v>4673</v>
      </c>
      <c r="F1456" s="8" t="s">
        <v>782</v>
      </c>
      <c r="G1456" s="8" t="s">
        <v>801</v>
      </c>
      <c r="H1456" s="8" t="s">
        <v>915</v>
      </c>
    </row>
    <row r="1457" customFormat="false" ht="15" hidden="false" customHeight="false" outlineLevel="0" collapsed="false">
      <c r="A1457" s="8" t="s">
        <v>4674</v>
      </c>
      <c r="B1457" s="8" t="s">
        <v>4675</v>
      </c>
      <c r="C1457" s="8" t="n">
        <v>2008</v>
      </c>
      <c r="D1457" s="8" t="s">
        <v>58</v>
      </c>
      <c r="E1457" s="8" t="s">
        <v>4676</v>
      </c>
      <c r="F1457" s="8" t="s">
        <v>782</v>
      </c>
      <c r="G1457" s="8" t="s">
        <v>801</v>
      </c>
      <c r="H1457" s="8" t="s">
        <v>915</v>
      </c>
    </row>
    <row r="1458" customFormat="false" ht="15" hidden="false" customHeight="false" outlineLevel="0" collapsed="false">
      <c r="A1458" s="8" t="s">
        <v>4677</v>
      </c>
      <c r="B1458" s="8" t="s">
        <v>4678</v>
      </c>
      <c r="C1458" s="8" t="n">
        <v>2008</v>
      </c>
      <c r="D1458" s="8" t="s">
        <v>83</v>
      </c>
      <c r="E1458" s="8" t="s">
        <v>4679</v>
      </c>
      <c r="F1458" s="8" t="s">
        <v>782</v>
      </c>
      <c r="G1458" s="8" t="s">
        <v>801</v>
      </c>
      <c r="H1458" s="8" t="s">
        <v>915</v>
      </c>
    </row>
    <row r="1459" customFormat="false" ht="15" hidden="false" customHeight="false" outlineLevel="0" collapsed="false">
      <c r="A1459" s="8" t="s">
        <v>4680</v>
      </c>
      <c r="B1459" s="8" t="s">
        <v>4681</v>
      </c>
      <c r="C1459" s="8" t="n">
        <v>2004</v>
      </c>
      <c r="D1459" s="8" t="s">
        <v>58</v>
      </c>
      <c r="E1459" s="8" t="s">
        <v>4682</v>
      </c>
      <c r="F1459" s="8" t="s">
        <v>782</v>
      </c>
      <c r="G1459" s="8" t="s">
        <v>783</v>
      </c>
      <c r="H1459" s="8" t="s">
        <v>784</v>
      </c>
    </row>
    <row r="1460" customFormat="false" ht="15" hidden="false" customHeight="false" outlineLevel="0" collapsed="false">
      <c r="A1460" s="8" t="s">
        <v>4683</v>
      </c>
      <c r="B1460" s="8" t="s">
        <v>4684</v>
      </c>
      <c r="C1460" s="8" t="n">
        <v>2007</v>
      </c>
      <c r="D1460" s="8" t="s">
        <v>83</v>
      </c>
      <c r="E1460" s="8" t="s">
        <v>4685</v>
      </c>
      <c r="F1460" s="8" t="s">
        <v>782</v>
      </c>
      <c r="G1460" s="8" t="s">
        <v>783</v>
      </c>
      <c r="H1460" s="8" t="s">
        <v>784</v>
      </c>
    </row>
    <row r="1461" customFormat="false" ht="15" hidden="false" customHeight="false" outlineLevel="0" collapsed="false">
      <c r="A1461" s="8" t="s">
        <v>4686</v>
      </c>
      <c r="B1461" s="8" t="s">
        <v>4687</v>
      </c>
      <c r="C1461" s="8" t="n">
        <v>2008</v>
      </c>
      <c r="D1461" s="8" t="s">
        <v>58</v>
      </c>
      <c r="E1461" s="8" t="s">
        <v>4688</v>
      </c>
      <c r="F1461" s="8" t="s">
        <v>782</v>
      </c>
      <c r="G1461" s="8" t="s">
        <v>801</v>
      </c>
      <c r="H1461" s="8" t="s">
        <v>915</v>
      </c>
    </row>
    <row r="1462" customFormat="false" ht="15" hidden="false" customHeight="false" outlineLevel="0" collapsed="false">
      <c r="A1462" s="8" t="s">
        <v>4689</v>
      </c>
      <c r="B1462" s="8" t="s">
        <v>4690</v>
      </c>
      <c r="C1462" s="8" t="n">
        <v>2007</v>
      </c>
      <c r="D1462" s="8" t="s">
        <v>90</v>
      </c>
      <c r="E1462" s="8" t="s">
        <v>4691</v>
      </c>
      <c r="F1462" s="8" t="s">
        <v>782</v>
      </c>
      <c r="G1462" s="8" t="s">
        <v>783</v>
      </c>
      <c r="H1462" s="8" t="s">
        <v>784</v>
      </c>
    </row>
    <row r="1463" customFormat="false" ht="15" hidden="false" customHeight="false" outlineLevel="0" collapsed="false">
      <c r="A1463" s="8" t="s">
        <v>4692</v>
      </c>
      <c r="B1463" s="8" t="s">
        <v>4693</v>
      </c>
      <c r="C1463" s="8" t="n">
        <v>2008</v>
      </c>
      <c r="D1463" s="8" t="s">
        <v>58</v>
      </c>
      <c r="E1463" s="8" t="s">
        <v>4694</v>
      </c>
      <c r="F1463" s="8" t="s">
        <v>782</v>
      </c>
      <c r="G1463" s="8" t="s">
        <v>783</v>
      </c>
      <c r="H1463" s="8" t="s">
        <v>784</v>
      </c>
    </row>
    <row r="1464" customFormat="false" ht="15" hidden="false" customHeight="false" outlineLevel="0" collapsed="false">
      <c r="A1464" s="8" t="s">
        <v>4695</v>
      </c>
      <c r="B1464" s="8" t="s">
        <v>4696</v>
      </c>
      <c r="C1464" s="8" t="n">
        <v>2007</v>
      </c>
      <c r="D1464" s="8" t="s">
        <v>58</v>
      </c>
      <c r="E1464" s="8" t="s">
        <v>4697</v>
      </c>
      <c r="F1464" s="8" t="s">
        <v>782</v>
      </c>
      <c r="G1464" s="8" t="s">
        <v>801</v>
      </c>
      <c r="H1464" s="8" t="s">
        <v>915</v>
      </c>
    </row>
    <row r="1465" customFormat="false" ht="15" hidden="false" customHeight="false" outlineLevel="0" collapsed="false">
      <c r="A1465" s="8" t="s">
        <v>4698</v>
      </c>
      <c r="B1465" s="8" t="s">
        <v>4699</v>
      </c>
      <c r="C1465" s="8" t="n">
        <v>2008</v>
      </c>
      <c r="D1465" s="8" t="s">
        <v>58</v>
      </c>
      <c r="E1465" s="8" t="s">
        <v>4700</v>
      </c>
      <c r="F1465" s="8" t="s">
        <v>782</v>
      </c>
      <c r="G1465" s="8" t="s">
        <v>783</v>
      </c>
      <c r="H1465" s="8" t="s">
        <v>784</v>
      </c>
    </row>
    <row r="1466" customFormat="false" ht="15" hidden="false" customHeight="false" outlineLevel="0" collapsed="false">
      <c r="A1466" s="8" t="s">
        <v>4701</v>
      </c>
      <c r="B1466" s="8" t="s">
        <v>4702</v>
      </c>
      <c r="C1466" s="8" t="n">
        <v>2008</v>
      </c>
      <c r="D1466" s="8" t="s">
        <v>58</v>
      </c>
      <c r="E1466" s="8" t="s">
        <v>4703</v>
      </c>
      <c r="F1466" s="8" t="s">
        <v>782</v>
      </c>
      <c r="G1466" s="8" t="s">
        <v>801</v>
      </c>
      <c r="H1466" s="8" t="s">
        <v>915</v>
      </c>
    </row>
    <row r="1467" customFormat="false" ht="15" hidden="false" customHeight="false" outlineLevel="0" collapsed="false">
      <c r="A1467" s="8" t="s">
        <v>4704</v>
      </c>
      <c r="B1467" s="8" t="s">
        <v>4705</v>
      </c>
      <c r="C1467" s="8" t="n">
        <v>2006</v>
      </c>
      <c r="D1467" s="8" t="s">
        <v>58</v>
      </c>
      <c r="E1467" s="8" t="s">
        <v>4706</v>
      </c>
      <c r="F1467" s="8" t="s">
        <v>782</v>
      </c>
      <c r="G1467" s="8" t="s">
        <v>801</v>
      </c>
      <c r="H1467" s="8" t="s">
        <v>915</v>
      </c>
    </row>
    <row r="1468" customFormat="false" ht="15" hidden="false" customHeight="false" outlineLevel="0" collapsed="false">
      <c r="A1468" s="8" t="s">
        <v>4707</v>
      </c>
      <c r="B1468" s="8" t="s">
        <v>4708</v>
      </c>
      <c r="C1468" s="8" t="n">
        <v>2007</v>
      </c>
      <c r="D1468" s="8" t="s">
        <v>58</v>
      </c>
      <c r="E1468" s="8" t="s">
        <v>4709</v>
      </c>
      <c r="F1468" s="8" t="s">
        <v>782</v>
      </c>
      <c r="G1468" s="8" t="s">
        <v>801</v>
      </c>
      <c r="H1468" s="8" t="s">
        <v>915</v>
      </c>
    </row>
    <row r="1469" customFormat="false" ht="15" hidden="false" customHeight="false" outlineLevel="0" collapsed="false">
      <c r="A1469" s="8" t="s">
        <v>4710</v>
      </c>
      <c r="B1469" s="8" t="s">
        <v>4711</v>
      </c>
      <c r="C1469" s="8" t="n">
        <v>2007</v>
      </c>
      <c r="D1469" s="8" t="s">
        <v>58</v>
      </c>
      <c r="E1469" s="8" t="s">
        <v>4712</v>
      </c>
      <c r="F1469" s="8" t="s">
        <v>782</v>
      </c>
      <c r="G1469" s="8" t="s">
        <v>801</v>
      </c>
      <c r="H1469" s="8" t="s">
        <v>915</v>
      </c>
    </row>
    <row r="1470" customFormat="false" ht="15" hidden="false" customHeight="false" outlineLevel="0" collapsed="false">
      <c r="A1470" s="8" t="s">
        <v>4713</v>
      </c>
      <c r="B1470" s="8" t="s">
        <v>4714</v>
      </c>
      <c r="C1470" s="8" t="n">
        <v>2006</v>
      </c>
      <c r="D1470" s="8" t="s">
        <v>58</v>
      </c>
      <c r="E1470" s="8" t="s">
        <v>4715</v>
      </c>
      <c r="F1470" s="8" t="s">
        <v>782</v>
      </c>
      <c r="G1470" s="8" t="s">
        <v>801</v>
      </c>
      <c r="H1470" s="8" t="s">
        <v>915</v>
      </c>
    </row>
    <row r="1471" customFormat="false" ht="15" hidden="false" customHeight="false" outlineLevel="0" collapsed="false">
      <c r="A1471" s="8" t="s">
        <v>4716</v>
      </c>
      <c r="B1471" s="8" t="s">
        <v>4717</v>
      </c>
      <c r="C1471" s="8" t="n">
        <v>2007</v>
      </c>
      <c r="D1471" s="8" t="s">
        <v>58</v>
      </c>
      <c r="E1471" s="8"/>
      <c r="F1471" s="8" t="s">
        <v>782</v>
      </c>
      <c r="G1471" s="8" t="s">
        <v>783</v>
      </c>
      <c r="H1471" s="8" t="s">
        <v>784</v>
      </c>
    </row>
    <row r="1472" customFormat="false" ht="15" hidden="false" customHeight="false" outlineLevel="0" collapsed="false">
      <c r="A1472" s="8" t="s">
        <v>4718</v>
      </c>
      <c r="B1472" s="8" t="s">
        <v>4719</v>
      </c>
      <c r="C1472" s="8" t="n">
        <v>2007</v>
      </c>
      <c r="D1472" s="8" t="s">
        <v>58</v>
      </c>
      <c r="E1472" s="8" t="s">
        <v>4720</v>
      </c>
      <c r="F1472" s="8" t="s">
        <v>782</v>
      </c>
      <c r="G1472" s="8" t="s">
        <v>801</v>
      </c>
      <c r="H1472" s="8" t="s">
        <v>915</v>
      </c>
    </row>
    <row r="1473" customFormat="false" ht="15" hidden="false" customHeight="false" outlineLevel="0" collapsed="false">
      <c r="A1473" s="8" t="s">
        <v>4721</v>
      </c>
      <c r="B1473" s="8" t="s">
        <v>4722</v>
      </c>
      <c r="C1473" s="8" t="n">
        <v>2009</v>
      </c>
      <c r="D1473" s="8" t="s">
        <v>58</v>
      </c>
      <c r="E1473" s="8" t="s">
        <v>4723</v>
      </c>
      <c r="F1473" s="8" t="s">
        <v>782</v>
      </c>
      <c r="G1473" s="8" t="s">
        <v>783</v>
      </c>
      <c r="H1473" s="8" t="s">
        <v>861</v>
      </c>
    </row>
    <row r="1474" customFormat="false" ht="15" hidden="false" customHeight="false" outlineLevel="0" collapsed="false">
      <c r="A1474" s="8" t="s">
        <v>4724</v>
      </c>
      <c r="B1474" s="8" t="s">
        <v>4725</v>
      </c>
      <c r="C1474" s="8" t="n">
        <v>2009</v>
      </c>
      <c r="D1474" s="8" t="s">
        <v>83</v>
      </c>
      <c r="E1474" s="8"/>
      <c r="F1474" s="8" t="s">
        <v>782</v>
      </c>
      <c r="G1474" s="8" t="s">
        <v>783</v>
      </c>
      <c r="H1474" s="8" t="s">
        <v>861</v>
      </c>
    </row>
    <row r="1475" customFormat="false" ht="15" hidden="false" customHeight="false" outlineLevel="0" collapsed="false">
      <c r="A1475" s="8" t="s">
        <v>4726</v>
      </c>
      <c r="B1475" s="8" t="s">
        <v>4727</v>
      </c>
      <c r="C1475" s="8" t="n">
        <v>2007</v>
      </c>
      <c r="D1475" s="8" t="s">
        <v>58</v>
      </c>
      <c r="E1475" s="8" t="s">
        <v>4728</v>
      </c>
      <c r="F1475" s="8" t="s">
        <v>782</v>
      </c>
      <c r="G1475" s="8" t="s">
        <v>801</v>
      </c>
      <c r="H1475" s="8" t="s">
        <v>915</v>
      </c>
    </row>
    <row r="1476" customFormat="false" ht="15" hidden="false" customHeight="false" outlineLevel="0" collapsed="false">
      <c r="A1476" s="8" t="s">
        <v>4729</v>
      </c>
      <c r="B1476" s="8" t="s">
        <v>4730</v>
      </c>
      <c r="C1476" s="8" t="n">
        <v>2009</v>
      </c>
      <c r="D1476" s="8" t="s">
        <v>58</v>
      </c>
      <c r="E1476" s="8" t="s">
        <v>4731</v>
      </c>
      <c r="F1476" s="8" t="s">
        <v>782</v>
      </c>
      <c r="G1476" s="8" t="s">
        <v>801</v>
      </c>
      <c r="H1476" s="8" t="s">
        <v>802</v>
      </c>
    </row>
    <row r="1477" customFormat="false" ht="15" hidden="false" customHeight="false" outlineLevel="0" collapsed="false">
      <c r="A1477" s="8" t="s">
        <v>4732</v>
      </c>
      <c r="B1477" s="8" t="s">
        <v>4733</v>
      </c>
      <c r="C1477" s="8" t="n">
        <v>2009</v>
      </c>
      <c r="D1477" s="8" t="s">
        <v>58</v>
      </c>
      <c r="E1477" s="8" t="s">
        <v>4734</v>
      </c>
      <c r="F1477" s="8" t="s">
        <v>782</v>
      </c>
      <c r="G1477" s="8" t="s">
        <v>783</v>
      </c>
      <c r="H1477" s="8" t="s">
        <v>784</v>
      </c>
    </row>
    <row r="1478" customFormat="false" ht="15" hidden="false" customHeight="false" outlineLevel="0" collapsed="false">
      <c r="A1478" s="8" t="s">
        <v>4735</v>
      </c>
      <c r="B1478" s="8" t="s">
        <v>4736</v>
      </c>
      <c r="C1478" s="8" t="n">
        <v>2008</v>
      </c>
      <c r="D1478" s="8" t="s">
        <v>83</v>
      </c>
      <c r="E1478" s="8" t="s">
        <v>4737</v>
      </c>
      <c r="F1478" s="8" t="s">
        <v>782</v>
      </c>
      <c r="G1478" s="8" t="s">
        <v>801</v>
      </c>
      <c r="H1478" s="8" t="s">
        <v>915</v>
      </c>
    </row>
    <row r="1479" customFormat="false" ht="15" hidden="false" customHeight="false" outlineLevel="0" collapsed="false">
      <c r="A1479" s="8" t="s">
        <v>4738</v>
      </c>
      <c r="B1479" s="8" t="s">
        <v>4739</v>
      </c>
      <c r="C1479" s="8" t="n">
        <v>2008</v>
      </c>
      <c r="D1479" s="8" t="s">
        <v>58</v>
      </c>
      <c r="E1479" s="8" t="s">
        <v>4740</v>
      </c>
      <c r="F1479" s="8" t="s">
        <v>782</v>
      </c>
      <c r="G1479" s="8" t="s">
        <v>801</v>
      </c>
      <c r="H1479" s="8" t="s">
        <v>802</v>
      </c>
    </row>
    <row r="1480" customFormat="false" ht="15" hidden="false" customHeight="false" outlineLevel="0" collapsed="false">
      <c r="A1480" s="8" t="s">
        <v>4741</v>
      </c>
      <c r="B1480" s="8" t="s">
        <v>4742</v>
      </c>
      <c r="C1480" s="8" t="n">
        <v>2009</v>
      </c>
      <c r="D1480" s="8" t="s">
        <v>83</v>
      </c>
      <c r="E1480" s="8" t="s">
        <v>4743</v>
      </c>
      <c r="F1480" s="8" t="s">
        <v>782</v>
      </c>
      <c r="G1480" s="8" t="s">
        <v>801</v>
      </c>
      <c r="H1480" s="8" t="s">
        <v>915</v>
      </c>
    </row>
    <row r="1481" customFormat="false" ht="15" hidden="false" customHeight="false" outlineLevel="0" collapsed="false">
      <c r="A1481" s="8" t="s">
        <v>4744</v>
      </c>
      <c r="B1481" s="8" t="s">
        <v>4745</v>
      </c>
      <c r="C1481" s="8" t="n">
        <v>2008</v>
      </c>
      <c r="D1481" s="8" t="s">
        <v>83</v>
      </c>
      <c r="E1481" s="8" t="s">
        <v>4746</v>
      </c>
      <c r="F1481" s="8" t="s">
        <v>782</v>
      </c>
      <c r="G1481" s="8" t="s">
        <v>783</v>
      </c>
      <c r="H1481" s="8" t="s">
        <v>784</v>
      </c>
    </row>
    <row r="1482" customFormat="false" ht="15" hidden="false" customHeight="false" outlineLevel="0" collapsed="false">
      <c r="A1482" s="8" t="s">
        <v>4747</v>
      </c>
      <c r="B1482" s="8" t="s">
        <v>4748</v>
      </c>
      <c r="C1482" s="8" t="n">
        <v>2008</v>
      </c>
      <c r="D1482" s="8" t="s">
        <v>58</v>
      </c>
      <c r="E1482" s="8" t="s">
        <v>4749</v>
      </c>
      <c r="F1482" s="8" t="s">
        <v>782</v>
      </c>
      <c r="G1482" s="8" t="s">
        <v>783</v>
      </c>
      <c r="H1482" s="8" t="s">
        <v>784</v>
      </c>
    </row>
    <row r="1483" customFormat="false" ht="15" hidden="false" customHeight="false" outlineLevel="0" collapsed="false">
      <c r="A1483" s="8" t="s">
        <v>4750</v>
      </c>
      <c r="B1483" s="8" t="s">
        <v>4751</v>
      </c>
      <c r="C1483" s="8" t="n">
        <v>2008</v>
      </c>
      <c r="D1483" s="8" t="s">
        <v>58</v>
      </c>
      <c r="E1483" s="8" t="s">
        <v>4752</v>
      </c>
      <c r="F1483" s="8" t="s">
        <v>782</v>
      </c>
      <c r="G1483" s="8" t="s">
        <v>801</v>
      </c>
      <c r="H1483" s="8" t="s">
        <v>802</v>
      </c>
    </row>
    <row r="1484" customFormat="false" ht="15" hidden="false" customHeight="false" outlineLevel="0" collapsed="false">
      <c r="A1484" s="8" t="s">
        <v>4753</v>
      </c>
      <c r="B1484" s="8" t="s">
        <v>4754</v>
      </c>
      <c r="C1484" s="8" t="n">
        <v>2007</v>
      </c>
      <c r="D1484" s="8" t="s">
        <v>58</v>
      </c>
      <c r="E1484" s="8" t="s">
        <v>4755</v>
      </c>
      <c r="F1484" s="8" t="s">
        <v>782</v>
      </c>
      <c r="G1484" s="8" t="s">
        <v>801</v>
      </c>
      <c r="H1484" s="8" t="s">
        <v>802</v>
      </c>
    </row>
    <row r="1485" customFormat="false" ht="15" hidden="false" customHeight="false" outlineLevel="0" collapsed="false">
      <c r="A1485" s="8" t="s">
        <v>4756</v>
      </c>
      <c r="B1485" s="8" t="s">
        <v>4757</v>
      </c>
      <c r="C1485" s="8" t="n">
        <v>2008</v>
      </c>
      <c r="D1485" s="8" t="s">
        <v>58</v>
      </c>
      <c r="E1485" s="8" t="s">
        <v>4758</v>
      </c>
      <c r="F1485" s="8" t="s">
        <v>782</v>
      </c>
      <c r="G1485" s="8" t="s">
        <v>801</v>
      </c>
      <c r="H1485" s="8" t="s">
        <v>915</v>
      </c>
    </row>
    <row r="1486" customFormat="false" ht="15" hidden="false" customHeight="false" outlineLevel="0" collapsed="false">
      <c r="A1486" s="8" t="s">
        <v>4759</v>
      </c>
      <c r="B1486" s="8" t="s">
        <v>4760</v>
      </c>
      <c r="C1486" s="8" t="n">
        <v>2006</v>
      </c>
      <c r="D1486" s="8" t="s">
        <v>58</v>
      </c>
      <c r="E1486" s="8" t="s">
        <v>4761</v>
      </c>
      <c r="F1486" s="8" t="s">
        <v>782</v>
      </c>
      <c r="G1486" s="8" t="s">
        <v>783</v>
      </c>
      <c r="H1486" s="8" t="s">
        <v>784</v>
      </c>
    </row>
    <row r="1487" customFormat="false" ht="15" hidden="false" customHeight="false" outlineLevel="0" collapsed="false">
      <c r="A1487" s="8" t="s">
        <v>4762</v>
      </c>
      <c r="B1487" s="8" t="s">
        <v>4763</v>
      </c>
      <c r="C1487" s="8" t="n">
        <v>2006</v>
      </c>
      <c r="D1487" s="8" t="s">
        <v>58</v>
      </c>
      <c r="E1487" s="8" t="s">
        <v>4764</v>
      </c>
      <c r="F1487" s="8" t="s">
        <v>782</v>
      </c>
      <c r="G1487" s="8" t="s">
        <v>801</v>
      </c>
      <c r="H1487" s="8" t="s">
        <v>915</v>
      </c>
    </row>
    <row r="1488" customFormat="false" ht="15" hidden="false" customHeight="false" outlineLevel="0" collapsed="false">
      <c r="A1488" s="8" t="s">
        <v>4765</v>
      </c>
      <c r="B1488" s="8" t="s">
        <v>4766</v>
      </c>
      <c r="C1488" s="8" t="n">
        <v>2007</v>
      </c>
      <c r="D1488" s="8" t="s">
        <v>58</v>
      </c>
      <c r="E1488" s="8"/>
      <c r="F1488" s="8" t="s">
        <v>782</v>
      </c>
      <c r="G1488" s="8" t="s">
        <v>783</v>
      </c>
      <c r="H1488" s="8" t="s">
        <v>784</v>
      </c>
    </row>
    <row r="1489" customFormat="false" ht="15" hidden="false" customHeight="false" outlineLevel="0" collapsed="false">
      <c r="A1489" s="8" t="s">
        <v>4767</v>
      </c>
      <c r="B1489" s="8" t="s">
        <v>4768</v>
      </c>
      <c r="C1489" s="8" t="n">
        <v>2008</v>
      </c>
      <c r="D1489" s="8" t="s">
        <v>58</v>
      </c>
      <c r="E1489" s="8" t="s">
        <v>4769</v>
      </c>
      <c r="F1489" s="8" t="s">
        <v>782</v>
      </c>
      <c r="G1489" s="8" t="s">
        <v>783</v>
      </c>
      <c r="H1489" s="8" t="s">
        <v>784</v>
      </c>
    </row>
    <row r="1490" customFormat="false" ht="15" hidden="false" customHeight="false" outlineLevel="0" collapsed="false">
      <c r="A1490" s="8" t="s">
        <v>4770</v>
      </c>
      <c r="B1490" s="8" t="s">
        <v>4771</v>
      </c>
      <c r="C1490" s="8" t="n">
        <v>2009</v>
      </c>
      <c r="D1490" s="8" t="s">
        <v>58</v>
      </c>
      <c r="E1490" s="8" t="s">
        <v>4772</v>
      </c>
      <c r="F1490" s="8" t="s">
        <v>782</v>
      </c>
      <c r="G1490" s="8" t="s">
        <v>801</v>
      </c>
      <c r="H1490" s="8" t="s">
        <v>915</v>
      </c>
    </row>
    <row r="1491" customFormat="false" ht="15" hidden="false" customHeight="false" outlineLevel="0" collapsed="false">
      <c r="A1491" s="8" t="s">
        <v>4773</v>
      </c>
      <c r="B1491" s="8" t="s">
        <v>4774</v>
      </c>
      <c r="C1491" s="8" t="n">
        <v>2005</v>
      </c>
      <c r="D1491" s="8" t="s">
        <v>58</v>
      </c>
      <c r="E1491" s="8"/>
      <c r="F1491" s="8" t="s">
        <v>782</v>
      </c>
      <c r="G1491" s="8" t="s">
        <v>783</v>
      </c>
      <c r="H1491" s="8" t="s">
        <v>784</v>
      </c>
    </row>
    <row r="1492" customFormat="false" ht="15" hidden="false" customHeight="false" outlineLevel="0" collapsed="false">
      <c r="A1492" s="8" t="s">
        <v>4775</v>
      </c>
      <c r="B1492" s="8" t="s">
        <v>4776</v>
      </c>
      <c r="C1492" s="8" t="n">
        <v>2008</v>
      </c>
      <c r="D1492" s="8" t="s">
        <v>58</v>
      </c>
      <c r="E1492" s="8"/>
      <c r="F1492" s="8" t="s">
        <v>782</v>
      </c>
      <c r="G1492" s="8" t="s">
        <v>783</v>
      </c>
      <c r="H1492" s="8" t="s">
        <v>784</v>
      </c>
    </row>
    <row r="1493" customFormat="false" ht="15" hidden="false" customHeight="false" outlineLevel="0" collapsed="false">
      <c r="A1493" s="8" t="s">
        <v>4777</v>
      </c>
      <c r="B1493" s="8" t="s">
        <v>4778</v>
      </c>
      <c r="C1493" s="8" t="n">
        <v>2008</v>
      </c>
      <c r="D1493" s="8" t="s">
        <v>83</v>
      </c>
      <c r="E1493" s="8" t="s">
        <v>4779</v>
      </c>
      <c r="F1493" s="8" t="s">
        <v>782</v>
      </c>
      <c r="G1493" s="8" t="s">
        <v>783</v>
      </c>
      <c r="H1493" s="8" t="s">
        <v>784</v>
      </c>
    </row>
    <row r="1494" customFormat="false" ht="15" hidden="false" customHeight="false" outlineLevel="0" collapsed="false">
      <c r="A1494" s="8" t="s">
        <v>4780</v>
      </c>
      <c r="B1494" s="8" t="s">
        <v>4781</v>
      </c>
      <c r="C1494" s="8" t="n">
        <v>2009</v>
      </c>
      <c r="D1494" s="8" t="s">
        <v>58</v>
      </c>
      <c r="E1494" s="8" t="s">
        <v>4782</v>
      </c>
      <c r="F1494" s="8" t="s">
        <v>782</v>
      </c>
      <c r="G1494" s="8" t="s">
        <v>801</v>
      </c>
      <c r="H1494" s="8" t="s">
        <v>915</v>
      </c>
    </row>
    <row r="1495" customFormat="false" ht="15" hidden="false" customHeight="false" outlineLevel="0" collapsed="false">
      <c r="A1495" s="8" t="s">
        <v>4783</v>
      </c>
      <c r="B1495" s="8" t="s">
        <v>4784</v>
      </c>
      <c r="C1495" s="8" t="n">
        <v>2008</v>
      </c>
      <c r="D1495" s="8" t="s">
        <v>58</v>
      </c>
      <c r="E1495" s="8" t="s">
        <v>4785</v>
      </c>
      <c r="F1495" s="8" t="s">
        <v>782</v>
      </c>
      <c r="G1495" s="8" t="s">
        <v>783</v>
      </c>
      <c r="H1495" s="8" t="s">
        <v>784</v>
      </c>
    </row>
    <row r="1496" customFormat="false" ht="15" hidden="false" customHeight="false" outlineLevel="0" collapsed="false">
      <c r="A1496" s="8" t="s">
        <v>4786</v>
      </c>
      <c r="B1496" s="8" t="s">
        <v>4787</v>
      </c>
      <c r="C1496" s="8" t="n">
        <v>2006</v>
      </c>
      <c r="D1496" s="8" t="s">
        <v>58</v>
      </c>
      <c r="E1496" s="8" t="s">
        <v>4788</v>
      </c>
      <c r="F1496" s="8" t="s">
        <v>782</v>
      </c>
      <c r="G1496" s="8" t="s">
        <v>801</v>
      </c>
      <c r="H1496" s="8" t="s">
        <v>915</v>
      </c>
    </row>
    <row r="1497" customFormat="false" ht="15" hidden="false" customHeight="false" outlineLevel="0" collapsed="false">
      <c r="A1497" s="8" t="s">
        <v>4789</v>
      </c>
      <c r="B1497" s="8" t="s">
        <v>4790</v>
      </c>
      <c r="C1497" s="8" t="n">
        <v>2007</v>
      </c>
      <c r="D1497" s="8" t="s">
        <v>58</v>
      </c>
      <c r="E1497" s="8" t="s">
        <v>4791</v>
      </c>
      <c r="F1497" s="8" t="s">
        <v>782</v>
      </c>
      <c r="G1497" s="8" t="s">
        <v>801</v>
      </c>
      <c r="H1497" s="8" t="s">
        <v>915</v>
      </c>
    </row>
    <row r="1498" customFormat="false" ht="15" hidden="false" customHeight="false" outlineLevel="0" collapsed="false">
      <c r="A1498" s="8" t="s">
        <v>4792</v>
      </c>
      <c r="B1498" s="8" t="s">
        <v>4793</v>
      </c>
      <c r="C1498" s="8" t="n">
        <v>2007</v>
      </c>
      <c r="D1498" s="8" t="s">
        <v>58</v>
      </c>
      <c r="E1498" s="8" t="s">
        <v>4794</v>
      </c>
      <c r="F1498" s="8" t="s">
        <v>782</v>
      </c>
      <c r="G1498" s="8" t="s">
        <v>801</v>
      </c>
      <c r="H1498" s="8" t="s">
        <v>915</v>
      </c>
    </row>
    <row r="1499" customFormat="false" ht="15" hidden="false" customHeight="false" outlineLevel="0" collapsed="false">
      <c r="A1499" s="8" t="s">
        <v>4795</v>
      </c>
      <c r="B1499" s="8" t="s">
        <v>4796</v>
      </c>
      <c r="C1499" s="8" t="n">
        <v>2008</v>
      </c>
      <c r="D1499" s="8" t="s">
        <v>58</v>
      </c>
      <c r="E1499" s="8" t="s">
        <v>4797</v>
      </c>
      <c r="F1499" s="8" t="s">
        <v>782</v>
      </c>
      <c r="G1499" s="8" t="s">
        <v>801</v>
      </c>
      <c r="H1499" s="8" t="s">
        <v>802</v>
      </c>
    </row>
    <row r="1500" customFormat="false" ht="15" hidden="false" customHeight="false" outlineLevel="0" collapsed="false">
      <c r="A1500" s="8" t="s">
        <v>4798</v>
      </c>
      <c r="B1500" s="8" t="s">
        <v>4799</v>
      </c>
      <c r="C1500" s="8" t="n">
        <v>2007</v>
      </c>
      <c r="D1500" s="8" t="s">
        <v>58</v>
      </c>
      <c r="E1500" s="8" t="s">
        <v>4800</v>
      </c>
      <c r="F1500" s="8" t="s">
        <v>782</v>
      </c>
      <c r="G1500" s="8" t="s">
        <v>801</v>
      </c>
      <c r="H1500" s="8" t="s">
        <v>802</v>
      </c>
    </row>
    <row r="1501" customFormat="false" ht="15" hidden="false" customHeight="false" outlineLevel="0" collapsed="false">
      <c r="A1501" s="8" t="s">
        <v>4801</v>
      </c>
      <c r="B1501" s="8" t="s">
        <v>4802</v>
      </c>
      <c r="C1501" s="8" t="n">
        <v>2009</v>
      </c>
      <c r="D1501" s="8" t="s">
        <v>58</v>
      </c>
      <c r="E1501" s="8"/>
      <c r="F1501" s="8" t="s">
        <v>782</v>
      </c>
      <c r="G1501" s="8" t="s">
        <v>801</v>
      </c>
      <c r="H1501" s="8" t="s">
        <v>915</v>
      </c>
    </row>
    <row r="1502" customFormat="false" ht="15" hidden="false" customHeight="false" outlineLevel="0" collapsed="false">
      <c r="A1502" s="8" t="s">
        <v>4803</v>
      </c>
      <c r="B1502" s="8" t="s">
        <v>4804</v>
      </c>
      <c r="C1502" s="8" t="n">
        <v>2006</v>
      </c>
      <c r="D1502" s="8" t="s">
        <v>58</v>
      </c>
      <c r="E1502" s="8"/>
      <c r="F1502" s="8" t="s">
        <v>782</v>
      </c>
      <c r="G1502" s="8" t="s">
        <v>783</v>
      </c>
      <c r="H1502" s="8" t="s">
        <v>861</v>
      </c>
    </row>
    <row r="1503" customFormat="false" ht="15" hidden="false" customHeight="false" outlineLevel="0" collapsed="false">
      <c r="A1503" s="8" t="s">
        <v>4805</v>
      </c>
      <c r="B1503" s="8" t="s">
        <v>4806</v>
      </c>
      <c r="C1503" s="8" t="n">
        <v>2007</v>
      </c>
      <c r="D1503" s="8" t="s">
        <v>58</v>
      </c>
      <c r="E1503" s="8" t="s">
        <v>4807</v>
      </c>
      <c r="F1503" s="8" t="s">
        <v>782</v>
      </c>
      <c r="G1503" s="8" t="s">
        <v>783</v>
      </c>
      <c r="H1503" s="8" t="s">
        <v>784</v>
      </c>
    </row>
    <row r="1504" customFormat="false" ht="15" hidden="false" customHeight="false" outlineLevel="0" collapsed="false">
      <c r="A1504" s="8" t="s">
        <v>4808</v>
      </c>
      <c r="B1504" s="8" t="s">
        <v>4809</v>
      </c>
      <c r="C1504" s="8" t="n">
        <v>2008</v>
      </c>
      <c r="D1504" s="8" t="s">
        <v>58</v>
      </c>
      <c r="E1504" s="8"/>
      <c r="F1504" s="8" t="s">
        <v>782</v>
      </c>
      <c r="G1504" s="8" t="s">
        <v>801</v>
      </c>
      <c r="H1504" s="8" t="s">
        <v>915</v>
      </c>
    </row>
    <row r="1505" customFormat="false" ht="15" hidden="false" customHeight="false" outlineLevel="0" collapsed="false">
      <c r="A1505" s="8" t="s">
        <v>4810</v>
      </c>
      <c r="B1505" s="8" t="s">
        <v>4811</v>
      </c>
      <c r="C1505" s="8" t="n">
        <v>2008</v>
      </c>
      <c r="D1505" s="8" t="s">
        <v>58</v>
      </c>
      <c r="E1505" s="8" t="s">
        <v>4812</v>
      </c>
      <c r="F1505" s="8" t="s">
        <v>782</v>
      </c>
      <c r="G1505" s="8" t="s">
        <v>801</v>
      </c>
      <c r="H1505" s="8" t="s">
        <v>915</v>
      </c>
    </row>
    <row r="1506" customFormat="false" ht="15" hidden="false" customHeight="false" outlineLevel="0" collapsed="false">
      <c r="A1506" s="8" t="s">
        <v>4813</v>
      </c>
      <c r="B1506" s="8" t="s">
        <v>4814</v>
      </c>
      <c r="C1506" s="8" t="n">
        <v>2006</v>
      </c>
      <c r="D1506" s="8" t="s">
        <v>58</v>
      </c>
      <c r="E1506" s="8" t="s">
        <v>4815</v>
      </c>
      <c r="F1506" s="8" t="s">
        <v>782</v>
      </c>
      <c r="G1506" s="8" t="s">
        <v>801</v>
      </c>
      <c r="H1506" s="8" t="s">
        <v>915</v>
      </c>
    </row>
    <row r="1507" customFormat="false" ht="15" hidden="false" customHeight="false" outlineLevel="0" collapsed="false">
      <c r="A1507" s="8" t="s">
        <v>4816</v>
      </c>
      <c r="B1507" s="8" t="s">
        <v>4817</v>
      </c>
      <c r="C1507" s="8" t="n">
        <v>2008</v>
      </c>
      <c r="D1507" s="8" t="s">
        <v>58</v>
      </c>
      <c r="E1507" s="8" t="s">
        <v>4818</v>
      </c>
      <c r="F1507" s="8" t="s">
        <v>782</v>
      </c>
      <c r="G1507" s="8" t="s">
        <v>801</v>
      </c>
      <c r="H1507" s="8" t="s">
        <v>915</v>
      </c>
    </row>
    <row r="1508" customFormat="false" ht="15" hidden="false" customHeight="false" outlineLevel="0" collapsed="false">
      <c r="A1508" s="8" t="s">
        <v>4819</v>
      </c>
      <c r="B1508" s="8" t="s">
        <v>4820</v>
      </c>
      <c r="C1508" s="8" t="n">
        <v>2007</v>
      </c>
      <c r="D1508" s="8" t="s">
        <v>58</v>
      </c>
      <c r="E1508" s="8" t="s">
        <v>4821</v>
      </c>
      <c r="F1508" s="8" t="s">
        <v>782</v>
      </c>
      <c r="G1508" s="8" t="s">
        <v>801</v>
      </c>
      <c r="H1508" s="8" t="s">
        <v>915</v>
      </c>
    </row>
    <row r="1509" customFormat="false" ht="15" hidden="false" customHeight="false" outlineLevel="0" collapsed="false">
      <c r="A1509" s="8" t="s">
        <v>4822</v>
      </c>
      <c r="B1509" s="8" t="s">
        <v>4823</v>
      </c>
      <c r="C1509" s="8" t="n">
        <v>2009</v>
      </c>
      <c r="D1509" s="8" t="s">
        <v>58</v>
      </c>
      <c r="E1509" s="8" t="s">
        <v>4824</v>
      </c>
      <c r="F1509" s="8" t="s">
        <v>782</v>
      </c>
      <c r="G1509" s="8" t="s">
        <v>801</v>
      </c>
      <c r="H1509" s="8" t="s">
        <v>915</v>
      </c>
    </row>
    <row r="1510" customFormat="false" ht="15" hidden="false" customHeight="false" outlineLevel="0" collapsed="false">
      <c r="A1510" s="8" t="s">
        <v>4825</v>
      </c>
      <c r="B1510" s="8" t="s">
        <v>4826</v>
      </c>
      <c r="C1510" s="8" t="n">
        <v>2008</v>
      </c>
      <c r="D1510" s="8" t="s">
        <v>58</v>
      </c>
      <c r="E1510" s="8" t="s">
        <v>4827</v>
      </c>
      <c r="F1510" s="8" t="s">
        <v>782</v>
      </c>
      <c r="G1510" s="8" t="s">
        <v>783</v>
      </c>
      <c r="H1510" s="8" t="s">
        <v>784</v>
      </c>
    </row>
    <row r="1511" customFormat="false" ht="15" hidden="false" customHeight="false" outlineLevel="0" collapsed="false">
      <c r="A1511" s="8" t="s">
        <v>4828</v>
      </c>
      <c r="B1511" s="8" t="s">
        <v>4829</v>
      </c>
      <c r="C1511" s="8" t="n">
        <v>2008</v>
      </c>
      <c r="D1511" s="8" t="s">
        <v>83</v>
      </c>
      <c r="E1511" s="8" t="s">
        <v>4830</v>
      </c>
      <c r="F1511" s="8" t="s">
        <v>782</v>
      </c>
      <c r="G1511" s="8" t="s">
        <v>783</v>
      </c>
      <c r="H1511" s="8" t="s">
        <v>784</v>
      </c>
    </row>
    <row r="1512" customFormat="false" ht="15" hidden="false" customHeight="false" outlineLevel="0" collapsed="false">
      <c r="A1512" s="8" t="s">
        <v>4831</v>
      </c>
      <c r="B1512" s="8" t="s">
        <v>4832</v>
      </c>
      <c r="C1512" s="8" t="n">
        <v>2008</v>
      </c>
      <c r="D1512" s="8" t="s">
        <v>83</v>
      </c>
      <c r="E1512" s="8" t="s">
        <v>4833</v>
      </c>
      <c r="F1512" s="8" t="s">
        <v>782</v>
      </c>
      <c r="G1512" s="8" t="s">
        <v>801</v>
      </c>
      <c r="H1512" s="8" t="s">
        <v>915</v>
      </c>
    </row>
    <row r="1513" customFormat="false" ht="15" hidden="false" customHeight="false" outlineLevel="0" collapsed="false">
      <c r="A1513" s="8" t="s">
        <v>4834</v>
      </c>
      <c r="B1513" s="8" t="s">
        <v>4835</v>
      </c>
      <c r="C1513" s="8" t="n">
        <v>2008</v>
      </c>
      <c r="D1513" s="8" t="s">
        <v>58</v>
      </c>
      <c r="E1513" s="8" t="s">
        <v>4836</v>
      </c>
      <c r="F1513" s="8" t="s">
        <v>782</v>
      </c>
      <c r="G1513" s="8" t="s">
        <v>801</v>
      </c>
      <c r="H1513" s="8" t="s">
        <v>915</v>
      </c>
    </row>
    <row r="1514" customFormat="false" ht="15" hidden="false" customHeight="false" outlineLevel="0" collapsed="false">
      <c r="A1514" s="8" t="s">
        <v>4837</v>
      </c>
      <c r="B1514" s="8" t="s">
        <v>4838</v>
      </c>
      <c r="C1514" s="8" t="n">
        <v>2008</v>
      </c>
      <c r="D1514" s="8" t="s">
        <v>58</v>
      </c>
      <c r="E1514" s="8" t="s">
        <v>4839</v>
      </c>
      <c r="F1514" s="8" t="s">
        <v>782</v>
      </c>
      <c r="G1514" s="8" t="s">
        <v>801</v>
      </c>
      <c r="H1514" s="8" t="s">
        <v>915</v>
      </c>
    </row>
    <row r="1515" customFormat="false" ht="15" hidden="false" customHeight="false" outlineLevel="0" collapsed="false">
      <c r="A1515" s="8" t="s">
        <v>4840</v>
      </c>
      <c r="B1515" s="8" t="s">
        <v>4841</v>
      </c>
      <c r="C1515" s="8" t="n">
        <v>2005</v>
      </c>
      <c r="D1515" s="8" t="s">
        <v>58</v>
      </c>
      <c r="E1515" s="8"/>
      <c r="F1515" s="8" t="s">
        <v>782</v>
      </c>
      <c r="G1515" s="8" t="s">
        <v>783</v>
      </c>
      <c r="H1515" s="8" t="s">
        <v>784</v>
      </c>
    </row>
    <row r="1516" customFormat="false" ht="15" hidden="false" customHeight="false" outlineLevel="0" collapsed="false">
      <c r="A1516" s="8" t="s">
        <v>4842</v>
      </c>
      <c r="B1516" s="8" t="s">
        <v>4843</v>
      </c>
      <c r="C1516" s="8" t="n">
        <v>2008</v>
      </c>
      <c r="D1516" s="8" t="s">
        <v>58</v>
      </c>
      <c r="E1516" s="8" t="s">
        <v>4844</v>
      </c>
      <c r="F1516" s="8" t="s">
        <v>782</v>
      </c>
      <c r="G1516" s="8" t="s">
        <v>801</v>
      </c>
      <c r="H1516" s="8" t="s">
        <v>915</v>
      </c>
    </row>
    <row r="1517" customFormat="false" ht="15" hidden="false" customHeight="false" outlineLevel="0" collapsed="false">
      <c r="A1517" s="8" t="s">
        <v>4845</v>
      </c>
      <c r="B1517" s="8" t="s">
        <v>4846</v>
      </c>
      <c r="C1517" s="8" t="n">
        <v>2007</v>
      </c>
      <c r="D1517" s="8" t="s">
        <v>58</v>
      </c>
      <c r="E1517" s="8" t="s">
        <v>4847</v>
      </c>
      <c r="F1517" s="8" t="s">
        <v>782</v>
      </c>
      <c r="G1517" s="8" t="s">
        <v>801</v>
      </c>
      <c r="H1517" s="8" t="s">
        <v>915</v>
      </c>
    </row>
    <row r="1518" customFormat="false" ht="15" hidden="false" customHeight="false" outlineLevel="0" collapsed="false">
      <c r="A1518" s="8" t="s">
        <v>4848</v>
      </c>
      <c r="B1518" s="8" t="s">
        <v>4849</v>
      </c>
      <c r="C1518" s="8" t="n">
        <v>2007</v>
      </c>
      <c r="D1518" s="8" t="s">
        <v>58</v>
      </c>
      <c r="E1518" s="8" t="s">
        <v>4850</v>
      </c>
      <c r="F1518" s="8" t="s">
        <v>782</v>
      </c>
      <c r="G1518" s="8" t="s">
        <v>783</v>
      </c>
      <c r="H1518" s="8" t="s">
        <v>784</v>
      </c>
    </row>
    <row r="1519" customFormat="false" ht="15" hidden="false" customHeight="false" outlineLevel="0" collapsed="false">
      <c r="A1519" s="8" t="s">
        <v>4851</v>
      </c>
      <c r="B1519" s="8" t="s">
        <v>4852</v>
      </c>
      <c r="C1519" s="8" t="n">
        <v>2008</v>
      </c>
      <c r="D1519" s="8" t="s">
        <v>58</v>
      </c>
      <c r="E1519" s="8" t="s">
        <v>4853</v>
      </c>
      <c r="F1519" s="8" t="s">
        <v>782</v>
      </c>
      <c r="G1519" s="8" t="s">
        <v>801</v>
      </c>
      <c r="H1519" s="8" t="s">
        <v>915</v>
      </c>
    </row>
    <row r="1520" customFormat="false" ht="15" hidden="false" customHeight="false" outlineLevel="0" collapsed="false">
      <c r="A1520" s="8" t="s">
        <v>4854</v>
      </c>
      <c r="B1520" s="8" t="s">
        <v>4855</v>
      </c>
      <c r="C1520" s="8" t="n">
        <v>2008</v>
      </c>
      <c r="D1520" s="8" t="s">
        <v>58</v>
      </c>
      <c r="E1520" s="8"/>
      <c r="F1520" s="8" t="s">
        <v>782</v>
      </c>
      <c r="G1520" s="8" t="s">
        <v>783</v>
      </c>
      <c r="H1520" s="8" t="s">
        <v>784</v>
      </c>
    </row>
    <row r="1521" customFormat="false" ht="15" hidden="false" customHeight="false" outlineLevel="0" collapsed="false">
      <c r="A1521" s="8" t="s">
        <v>4856</v>
      </c>
      <c r="B1521" s="8" t="s">
        <v>4857</v>
      </c>
      <c r="C1521" s="8" t="n">
        <v>2008</v>
      </c>
      <c r="D1521" s="8" t="s">
        <v>58</v>
      </c>
      <c r="E1521" s="8" t="s">
        <v>4858</v>
      </c>
      <c r="F1521" s="8" t="s">
        <v>782</v>
      </c>
      <c r="G1521" s="8" t="s">
        <v>801</v>
      </c>
      <c r="H1521" s="8" t="s">
        <v>915</v>
      </c>
    </row>
    <row r="1522" customFormat="false" ht="15" hidden="false" customHeight="false" outlineLevel="0" collapsed="false">
      <c r="A1522" s="8" t="s">
        <v>4859</v>
      </c>
      <c r="B1522" s="8" t="s">
        <v>4860</v>
      </c>
      <c r="C1522" s="8" t="n">
        <v>2007</v>
      </c>
      <c r="D1522" s="8" t="s">
        <v>58</v>
      </c>
      <c r="E1522" s="8" t="s">
        <v>4861</v>
      </c>
      <c r="F1522" s="8" t="s">
        <v>782</v>
      </c>
      <c r="G1522" s="8" t="s">
        <v>783</v>
      </c>
      <c r="H1522" s="8" t="s">
        <v>861</v>
      </c>
    </row>
    <row r="1523" customFormat="false" ht="15" hidden="false" customHeight="false" outlineLevel="0" collapsed="false">
      <c r="A1523" s="8" t="s">
        <v>4862</v>
      </c>
      <c r="B1523" s="8" t="s">
        <v>4863</v>
      </c>
      <c r="C1523" s="8" t="n">
        <v>2007</v>
      </c>
      <c r="D1523" s="8" t="s">
        <v>58</v>
      </c>
      <c r="E1523" s="8" t="s">
        <v>4864</v>
      </c>
      <c r="F1523" s="8" t="s">
        <v>782</v>
      </c>
      <c r="G1523" s="8" t="s">
        <v>801</v>
      </c>
      <c r="H1523" s="8" t="s">
        <v>915</v>
      </c>
    </row>
    <row r="1524" customFormat="false" ht="15" hidden="false" customHeight="false" outlineLevel="0" collapsed="false">
      <c r="A1524" s="8" t="s">
        <v>4865</v>
      </c>
      <c r="B1524" s="8" t="s">
        <v>4866</v>
      </c>
      <c r="C1524" s="8" t="n">
        <v>2005</v>
      </c>
      <c r="D1524" s="8" t="s">
        <v>58</v>
      </c>
      <c r="E1524" s="8"/>
      <c r="F1524" s="8" t="s">
        <v>782</v>
      </c>
      <c r="G1524" s="8" t="s">
        <v>801</v>
      </c>
      <c r="H1524" s="8" t="s">
        <v>915</v>
      </c>
    </row>
    <row r="1525" customFormat="false" ht="15" hidden="false" customHeight="false" outlineLevel="0" collapsed="false">
      <c r="A1525" s="8" t="s">
        <v>4867</v>
      </c>
      <c r="B1525" s="8" t="s">
        <v>4868</v>
      </c>
      <c r="C1525" s="8" t="n">
        <v>2007</v>
      </c>
      <c r="D1525" s="8" t="s">
        <v>58</v>
      </c>
      <c r="E1525" s="8" t="s">
        <v>4869</v>
      </c>
      <c r="F1525" s="8" t="s">
        <v>782</v>
      </c>
      <c r="G1525" s="8" t="s">
        <v>801</v>
      </c>
      <c r="H1525" s="8" t="s">
        <v>915</v>
      </c>
    </row>
    <row r="1526" customFormat="false" ht="15" hidden="false" customHeight="false" outlineLevel="0" collapsed="false">
      <c r="A1526" s="8" t="s">
        <v>4870</v>
      </c>
      <c r="B1526" s="8" t="s">
        <v>4871</v>
      </c>
      <c r="C1526" s="8" t="n">
        <v>2008</v>
      </c>
      <c r="D1526" s="8" t="s">
        <v>58</v>
      </c>
      <c r="E1526" s="8" t="s">
        <v>4872</v>
      </c>
      <c r="F1526" s="8" t="s">
        <v>782</v>
      </c>
      <c r="G1526" s="8" t="s">
        <v>801</v>
      </c>
      <c r="H1526" s="8" t="s">
        <v>915</v>
      </c>
    </row>
    <row r="1527" customFormat="false" ht="15" hidden="false" customHeight="false" outlineLevel="0" collapsed="false">
      <c r="A1527" s="8" t="s">
        <v>4873</v>
      </c>
      <c r="B1527" s="8" t="s">
        <v>4874</v>
      </c>
      <c r="C1527" s="8" t="n">
        <v>2006</v>
      </c>
      <c r="D1527" s="8" t="s">
        <v>74</v>
      </c>
      <c r="E1527" s="8"/>
      <c r="F1527" s="8" t="s">
        <v>782</v>
      </c>
      <c r="G1527" s="8" t="s">
        <v>801</v>
      </c>
      <c r="H1527" s="8" t="s">
        <v>915</v>
      </c>
    </row>
    <row r="1528" customFormat="false" ht="15" hidden="false" customHeight="false" outlineLevel="0" collapsed="false">
      <c r="A1528" s="8" t="s">
        <v>4875</v>
      </c>
      <c r="B1528" s="8" t="s">
        <v>4876</v>
      </c>
      <c r="C1528" s="8" t="n">
        <v>2008</v>
      </c>
      <c r="D1528" s="8" t="s">
        <v>58</v>
      </c>
      <c r="E1528" s="8" t="s">
        <v>4877</v>
      </c>
      <c r="F1528" s="8" t="s">
        <v>782</v>
      </c>
      <c r="G1528" s="8" t="s">
        <v>801</v>
      </c>
      <c r="H1528" s="8" t="s">
        <v>915</v>
      </c>
    </row>
    <row r="1529" customFormat="false" ht="15" hidden="false" customHeight="false" outlineLevel="0" collapsed="false">
      <c r="A1529" s="8" t="s">
        <v>4878</v>
      </c>
      <c r="B1529" s="8" t="s">
        <v>4879</v>
      </c>
      <c r="C1529" s="8" t="n">
        <v>2008</v>
      </c>
      <c r="D1529" s="8" t="s">
        <v>58</v>
      </c>
      <c r="E1529" s="8" t="s">
        <v>4880</v>
      </c>
      <c r="F1529" s="8" t="s">
        <v>782</v>
      </c>
      <c r="G1529" s="8" t="s">
        <v>783</v>
      </c>
      <c r="H1529" s="8" t="s">
        <v>784</v>
      </c>
    </row>
    <row r="1530" customFormat="false" ht="15" hidden="false" customHeight="false" outlineLevel="0" collapsed="false">
      <c r="A1530" s="8" t="s">
        <v>4881</v>
      </c>
      <c r="B1530" s="8" t="s">
        <v>4882</v>
      </c>
      <c r="C1530" s="8" t="n">
        <v>2009</v>
      </c>
      <c r="D1530" s="8" t="s">
        <v>83</v>
      </c>
      <c r="E1530" s="8" t="s">
        <v>4883</v>
      </c>
      <c r="F1530" s="8" t="s">
        <v>782</v>
      </c>
      <c r="G1530" s="8" t="s">
        <v>783</v>
      </c>
      <c r="H1530" s="8" t="s">
        <v>784</v>
      </c>
    </row>
    <row r="1531" customFormat="false" ht="15" hidden="false" customHeight="false" outlineLevel="0" collapsed="false">
      <c r="A1531" s="8" t="s">
        <v>4884</v>
      </c>
      <c r="B1531" s="8" t="s">
        <v>4885</v>
      </c>
      <c r="C1531" s="8" t="n">
        <v>2007</v>
      </c>
      <c r="D1531" s="8" t="s">
        <v>58</v>
      </c>
      <c r="E1531" s="8" t="s">
        <v>4886</v>
      </c>
      <c r="F1531" s="8" t="s">
        <v>782</v>
      </c>
      <c r="G1531" s="8" t="s">
        <v>801</v>
      </c>
      <c r="H1531" s="8" t="s">
        <v>915</v>
      </c>
    </row>
    <row r="1532" customFormat="false" ht="15" hidden="false" customHeight="false" outlineLevel="0" collapsed="false">
      <c r="A1532" s="8" t="s">
        <v>4887</v>
      </c>
      <c r="B1532" s="8" t="s">
        <v>4888</v>
      </c>
      <c r="C1532" s="8" t="n">
        <v>2006</v>
      </c>
      <c r="D1532" s="8" t="s">
        <v>58</v>
      </c>
      <c r="E1532" s="8" t="s">
        <v>4889</v>
      </c>
      <c r="F1532" s="8" t="s">
        <v>782</v>
      </c>
      <c r="G1532" s="8" t="s">
        <v>801</v>
      </c>
      <c r="H1532" s="8" t="s">
        <v>915</v>
      </c>
    </row>
    <row r="1533" customFormat="false" ht="15" hidden="false" customHeight="false" outlineLevel="0" collapsed="false">
      <c r="A1533" s="8" t="s">
        <v>4890</v>
      </c>
      <c r="B1533" s="8" t="s">
        <v>4891</v>
      </c>
      <c r="C1533" s="8" t="n">
        <v>2008</v>
      </c>
      <c r="D1533" s="8" t="s">
        <v>58</v>
      </c>
      <c r="E1533" s="8" t="s">
        <v>4892</v>
      </c>
      <c r="F1533" s="8" t="s">
        <v>782</v>
      </c>
      <c r="G1533" s="8" t="s">
        <v>801</v>
      </c>
      <c r="H1533" s="8" t="s">
        <v>915</v>
      </c>
    </row>
    <row r="1534" customFormat="false" ht="15" hidden="false" customHeight="false" outlineLevel="0" collapsed="false">
      <c r="A1534" s="8" t="s">
        <v>4893</v>
      </c>
      <c r="B1534" s="8" t="s">
        <v>4894</v>
      </c>
      <c r="C1534" s="8" t="n">
        <v>2009</v>
      </c>
      <c r="D1534" s="8" t="s">
        <v>58</v>
      </c>
      <c r="E1534" s="8" t="s">
        <v>4895</v>
      </c>
      <c r="F1534" s="8" t="s">
        <v>782</v>
      </c>
      <c r="G1534" s="8" t="s">
        <v>801</v>
      </c>
      <c r="H1534" s="8" t="s">
        <v>915</v>
      </c>
    </row>
    <row r="1535" customFormat="false" ht="15" hidden="false" customHeight="false" outlineLevel="0" collapsed="false">
      <c r="A1535" s="8" t="s">
        <v>4896</v>
      </c>
      <c r="B1535" s="8" t="s">
        <v>4897</v>
      </c>
      <c r="C1535" s="8" t="n">
        <v>2008</v>
      </c>
      <c r="D1535" s="8" t="s">
        <v>58</v>
      </c>
      <c r="E1535" s="8" t="s">
        <v>4898</v>
      </c>
      <c r="F1535" s="8" t="s">
        <v>782</v>
      </c>
      <c r="G1535" s="8" t="s">
        <v>801</v>
      </c>
      <c r="H1535" s="8" t="s">
        <v>915</v>
      </c>
    </row>
    <row r="1536" customFormat="false" ht="15" hidden="false" customHeight="false" outlineLevel="0" collapsed="false">
      <c r="A1536" s="8" t="s">
        <v>4899</v>
      </c>
      <c r="B1536" s="8" t="s">
        <v>4900</v>
      </c>
      <c r="C1536" s="8" t="n">
        <v>2008</v>
      </c>
      <c r="D1536" s="8" t="s">
        <v>58</v>
      </c>
      <c r="E1536" s="8"/>
      <c r="F1536" s="8" t="s">
        <v>782</v>
      </c>
      <c r="G1536" s="8" t="s">
        <v>821</v>
      </c>
      <c r="H1536" s="8" t="s">
        <v>822</v>
      </c>
    </row>
    <row r="1537" customFormat="false" ht="15" hidden="false" customHeight="false" outlineLevel="0" collapsed="false">
      <c r="A1537" s="8" t="s">
        <v>4901</v>
      </c>
      <c r="B1537" s="8" t="s">
        <v>4902</v>
      </c>
      <c r="C1537" s="8" t="n">
        <v>2009</v>
      </c>
      <c r="D1537" s="8" t="s">
        <v>58</v>
      </c>
      <c r="E1537" s="8" t="s">
        <v>4903</v>
      </c>
      <c r="F1537" s="8" t="s">
        <v>782</v>
      </c>
      <c r="G1537" s="8" t="s">
        <v>783</v>
      </c>
      <c r="H1537" s="8" t="s">
        <v>784</v>
      </c>
    </row>
    <row r="1538" customFormat="false" ht="15" hidden="false" customHeight="false" outlineLevel="0" collapsed="false">
      <c r="A1538" s="8" t="s">
        <v>4904</v>
      </c>
      <c r="B1538" s="8" t="s">
        <v>4905</v>
      </c>
      <c r="C1538" s="8" t="n">
        <v>2006</v>
      </c>
      <c r="D1538" s="8" t="s">
        <v>58</v>
      </c>
      <c r="E1538" s="8"/>
      <c r="F1538" s="8" t="s">
        <v>782</v>
      </c>
      <c r="G1538" s="8" t="s">
        <v>783</v>
      </c>
      <c r="H1538" s="8" t="s">
        <v>784</v>
      </c>
    </row>
    <row r="1539" customFormat="false" ht="15" hidden="false" customHeight="false" outlineLevel="0" collapsed="false">
      <c r="A1539" s="8" t="s">
        <v>4906</v>
      </c>
      <c r="B1539" s="8" t="s">
        <v>4907</v>
      </c>
      <c r="C1539" s="8" t="n">
        <v>2008</v>
      </c>
      <c r="D1539" s="8" t="s">
        <v>58</v>
      </c>
      <c r="E1539" s="8" t="s">
        <v>4908</v>
      </c>
      <c r="F1539" s="8" t="s">
        <v>782</v>
      </c>
      <c r="G1539" s="8" t="s">
        <v>783</v>
      </c>
      <c r="H1539" s="8" t="s">
        <v>784</v>
      </c>
    </row>
    <row r="1540" customFormat="false" ht="15" hidden="false" customHeight="false" outlineLevel="0" collapsed="false">
      <c r="A1540" s="8" t="s">
        <v>4909</v>
      </c>
      <c r="B1540" s="8" t="s">
        <v>4910</v>
      </c>
      <c r="C1540" s="8" t="n">
        <v>2008</v>
      </c>
      <c r="D1540" s="8" t="s">
        <v>58</v>
      </c>
      <c r="E1540" s="8" t="s">
        <v>4911</v>
      </c>
      <c r="F1540" s="8" t="s">
        <v>782</v>
      </c>
      <c r="G1540" s="8" t="s">
        <v>801</v>
      </c>
      <c r="H1540" s="8" t="s">
        <v>915</v>
      </c>
    </row>
    <row r="1541" customFormat="false" ht="15" hidden="false" customHeight="false" outlineLevel="0" collapsed="false">
      <c r="A1541" s="8" t="s">
        <v>4912</v>
      </c>
      <c r="B1541" s="8" t="s">
        <v>4913</v>
      </c>
      <c r="C1541" s="8" t="n">
        <v>2006</v>
      </c>
      <c r="D1541" s="8" t="s">
        <v>58</v>
      </c>
      <c r="E1541" s="8" t="s">
        <v>4914</v>
      </c>
      <c r="F1541" s="8" t="s">
        <v>782</v>
      </c>
      <c r="G1541" s="8" t="s">
        <v>801</v>
      </c>
      <c r="H1541" s="8" t="s">
        <v>915</v>
      </c>
    </row>
    <row r="1542" customFormat="false" ht="15" hidden="false" customHeight="false" outlineLevel="0" collapsed="false">
      <c r="A1542" s="8" t="s">
        <v>4915</v>
      </c>
      <c r="B1542" s="8" t="s">
        <v>4916</v>
      </c>
      <c r="C1542" s="8" t="n">
        <v>2008</v>
      </c>
      <c r="D1542" s="8" t="s">
        <v>58</v>
      </c>
      <c r="E1542" s="8" t="s">
        <v>4917</v>
      </c>
      <c r="F1542" s="8" t="s">
        <v>782</v>
      </c>
      <c r="G1542" s="8" t="s">
        <v>801</v>
      </c>
      <c r="H1542" s="8" t="s">
        <v>915</v>
      </c>
    </row>
    <row r="1543" customFormat="false" ht="15" hidden="false" customHeight="false" outlineLevel="0" collapsed="false">
      <c r="A1543" s="8" t="s">
        <v>4918</v>
      </c>
      <c r="B1543" s="8" t="s">
        <v>4919</v>
      </c>
      <c r="C1543" s="8" t="n">
        <v>2008</v>
      </c>
      <c r="D1543" s="8" t="s">
        <v>58</v>
      </c>
      <c r="E1543" s="8" t="s">
        <v>4920</v>
      </c>
      <c r="F1543" s="8" t="s">
        <v>782</v>
      </c>
      <c r="G1543" s="8" t="s">
        <v>783</v>
      </c>
      <c r="H1543" s="8" t="s">
        <v>784</v>
      </c>
    </row>
    <row r="1544" customFormat="false" ht="15" hidden="false" customHeight="false" outlineLevel="0" collapsed="false">
      <c r="A1544" s="8" t="s">
        <v>4921</v>
      </c>
      <c r="B1544" s="8" t="s">
        <v>4922</v>
      </c>
      <c r="C1544" s="8" t="n">
        <v>2007</v>
      </c>
      <c r="D1544" s="8" t="s">
        <v>58</v>
      </c>
      <c r="E1544" s="8" t="s">
        <v>4923</v>
      </c>
      <c r="F1544" s="8" t="s">
        <v>782</v>
      </c>
      <c r="G1544" s="8" t="s">
        <v>801</v>
      </c>
      <c r="H1544" s="8" t="s">
        <v>915</v>
      </c>
    </row>
    <row r="1545" customFormat="false" ht="15" hidden="false" customHeight="false" outlineLevel="0" collapsed="false">
      <c r="A1545" s="8" t="s">
        <v>4924</v>
      </c>
      <c r="B1545" s="8" t="s">
        <v>4925</v>
      </c>
      <c r="C1545" s="8" t="n">
        <v>2008</v>
      </c>
      <c r="D1545" s="8" t="s">
        <v>58</v>
      </c>
      <c r="E1545" s="8"/>
      <c r="F1545" s="8" t="s">
        <v>782</v>
      </c>
      <c r="G1545" s="8" t="s">
        <v>801</v>
      </c>
      <c r="H1545" s="8" t="s">
        <v>915</v>
      </c>
    </row>
    <row r="1546" customFormat="false" ht="15" hidden="false" customHeight="false" outlineLevel="0" collapsed="false">
      <c r="A1546" s="8" t="s">
        <v>4926</v>
      </c>
      <c r="B1546" s="8" t="s">
        <v>4927</v>
      </c>
      <c r="C1546" s="8" t="n">
        <v>2008</v>
      </c>
      <c r="D1546" s="8" t="s">
        <v>58</v>
      </c>
      <c r="E1546" s="8" t="s">
        <v>4928</v>
      </c>
      <c r="F1546" s="8" t="s">
        <v>782</v>
      </c>
      <c r="G1546" s="8" t="s">
        <v>783</v>
      </c>
      <c r="H1546" s="8" t="s">
        <v>784</v>
      </c>
    </row>
    <row r="1547" customFormat="false" ht="15" hidden="false" customHeight="false" outlineLevel="0" collapsed="false">
      <c r="A1547" s="8" t="s">
        <v>4929</v>
      </c>
      <c r="B1547" s="8" t="s">
        <v>4930</v>
      </c>
      <c r="C1547" s="8" t="n">
        <v>2008</v>
      </c>
      <c r="D1547" s="8" t="s">
        <v>58</v>
      </c>
      <c r="E1547" s="8" t="s">
        <v>4931</v>
      </c>
      <c r="F1547" s="8" t="s">
        <v>782</v>
      </c>
      <c r="G1547" s="8" t="s">
        <v>783</v>
      </c>
      <c r="H1547" s="8" t="s">
        <v>784</v>
      </c>
    </row>
    <row r="1548" customFormat="false" ht="15" hidden="false" customHeight="false" outlineLevel="0" collapsed="false">
      <c r="A1548" s="8" t="s">
        <v>4932</v>
      </c>
      <c r="B1548" s="8" t="s">
        <v>4933</v>
      </c>
      <c r="C1548" s="8" t="n">
        <v>2008</v>
      </c>
      <c r="D1548" s="8" t="s">
        <v>58</v>
      </c>
      <c r="E1548" s="8" t="s">
        <v>4934</v>
      </c>
      <c r="F1548" s="8" t="s">
        <v>782</v>
      </c>
      <c r="G1548" s="8" t="s">
        <v>821</v>
      </c>
      <c r="H1548" s="8" t="s">
        <v>822</v>
      </c>
    </row>
    <row r="1549" customFormat="false" ht="15" hidden="false" customHeight="false" outlineLevel="0" collapsed="false">
      <c r="A1549" s="8" t="s">
        <v>4935</v>
      </c>
      <c r="B1549" s="8" t="s">
        <v>4936</v>
      </c>
      <c r="C1549" s="8" t="n">
        <v>2008</v>
      </c>
      <c r="D1549" s="8" t="s">
        <v>58</v>
      </c>
      <c r="E1549" s="8" t="s">
        <v>4937</v>
      </c>
      <c r="F1549" s="8" t="s">
        <v>782</v>
      </c>
      <c r="G1549" s="8" t="s">
        <v>801</v>
      </c>
      <c r="H1549" s="8" t="s">
        <v>915</v>
      </c>
    </row>
    <row r="1550" customFormat="false" ht="15" hidden="false" customHeight="false" outlineLevel="0" collapsed="false">
      <c r="A1550" s="8" t="s">
        <v>4938</v>
      </c>
      <c r="B1550" s="8" t="s">
        <v>4939</v>
      </c>
      <c r="C1550" s="8" t="n">
        <v>2008</v>
      </c>
      <c r="D1550" s="8" t="s">
        <v>58</v>
      </c>
      <c r="E1550" s="8"/>
      <c r="F1550" s="8" t="s">
        <v>782</v>
      </c>
      <c r="G1550" s="8" t="s">
        <v>783</v>
      </c>
      <c r="H1550" s="8" t="s">
        <v>784</v>
      </c>
    </row>
    <row r="1551" customFormat="false" ht="15" hidden="false" customHeight="false" outlineLevel="0" collapsed="false">
      <c r="A1551" s="8" t="s">
        <v>4940</v>
      </c>
      <c r="B1551" s="8" t="s">
        <v>4941</v>
      </c>
      <c r="C1551" s="8" t="n">
        <v>2007</v>
      </c>
      <c r="D1551" s="8" t="s">
        <v>58</v>
      </c>
      <c r="E1551" s="8" t="s">
        <v>4942</v>
      </c>
      <c r="F1551" s="8" t="s">
        <v>782</v>
      </c>
      <c r="G1551" s="8" t="s">
        <v>783</v>
      </c>
      <c r="H1551" s="8" t="s">
        <v>784</v>
      </c>
    </row>
    <row r="1552" customFormat="false" ht="15" hidden="false" customHeight="false" outlineLevel="0" collapsed="false">
      <c r="A1552" s="8" t="s">
        <v>4943</v>
      </c>
      <c r="B1552" s="8" t="s">
        <v>4944</v>
      </c>
      <c r="C1552" s="8" t="n">
        <v>2008</v>
      </c>
      <c r="D1552" s="8" t="s">
        <v>58</v>
      </c>
      <c r="E1552" s="8" t="s">
        <v>4945</v>
      </c>
      <c r="F1552" s="8" t="s">
        <v>782</v>
      </c>
      <c r="G1552" s="8" t="s">
        <v>801</v>
      </c>
      <c r="H1552" s="8" t="s">
        <v>915</v>
      </c>
    </row>
    <row r="1553" customFormat="false" ht="15" hidden="false" customHeight="false" outlineLevel="0" collapsed="false">
      <c r="A1553" s="8" t="s">
        <v>4946</v>
      </c>
      <c r="B1553" s="8" t="s">
        <v>4947</v>
      </c>
      <c r="C1553" s="8" t="n">
        <v>2009</v>
      </c>
      <c r="D1553" s="8" t="s">
        <v>58</v>
      </c>
      <c r="E1553" s="8" t="s">
        <v>4948</v>
      </c>
      <c r="F1553" s="8" t="s">
        <v>782</v>
      </c>
      <c r="G1553" s="8" t="s">
        <v>801</v>
      </c>
      <c r="H1553" s="8" t="s">
        <v>915</v>
      </c>
    </row>
    <row r="1554" customFormat="false" ht="15" hidden="false" customHeight="false" outlineLevel="0" collapsed="false">
      <c r="A1554" s="8" t="s">
        <v>4949</v>
      </c>
      <c r="B1554" s="8" t="s">
        <v>4950</v>
      </c>
      <c r="C1554" s="8" t="n">
        <v>2009</v>
      </c>
      <c r="D1554" s="8" t="s">
        <v>58</v>
      </c>
      <c r="E1554" s="8"/>
      <c r="F1554" s="8" t="s">
        <v>782</v>
      </c>
      <c r="G1554" s="8" t="s">
        <v>783</v>
      </c>
      <c r="H1554" s="8" t="s">
        <v>784</v>
      </c>
    </row>
    <row r="1555" customFormat="false" ht="15" hidden="false" customHeight="false" outlineLevel="0" collapsed="false">
      <c r="A1555" s="8" t="s">
        <v>4951</v>
      </c>
      <c r="B1555" s="8" t="s">
        <v>4952</v>
      </c>
      <c r="C1555" s="8" t="n">
        <v>2008</v>
      </c>
      <c r="D1555" s="8" t="s">
        <v>83</v>
      </c>
      <c r="E1555" s="8" t="s">
        <v>4953</v>
      </c>
      <c r="F1555" s="8" t="s">
        <v>782</v>
      </c>
      <c r="G1555" s="8" t="s">
        <v>801</v>
      </c>
      <c r="H1555" s="8" t="s">
        <v>915</v>
      </c>
    </row>
    <row r="1556" customFormat="false" ht="15" hidden="false" customHeight="false" outlineLevel="0" collapsed="false">
      <c r="A1556" s="8" t="s">
        <v>4954</v>
      </c>
      <c r="B1556" s="8" t="s">
        <v>4955</v>
      </c>
      <c r="C1556" s="8" t="n">
        <v>2008</v>
      </c>
      <c r="D1556" s="8" t="s">
        <v>58</v>
      </c>
      <c r="E1556" s="8" t="s">
        <v>4956</v>
      </c>
      <c r="F1556" s="8" t="s">
        <v>782</v>
      </c>
      <c r="G1556" s="8" t="s">
        <v>801</v>
      </c>
      <c r="H1556" s="8" t="s">
        <v>915</v>
      </c>
    </row>
    <row r="1557" customFormat="false" ht="15" hidden="false" customHeight="false" outlineLevel="0" collapsed="false">
      <c r="A1557" s="8" t="s">
        <v>4957</v>
      </c>
      <c r="B1557" s="8" t="s">
        <v>4958</v>
      </c>
      <c r="C1557" s="8" t="n">
        <v>2008</v>
      </c>
      <c r="D1557" s="8" t="s">
        <v>58</v>
      </c>
      <c r="E1557" s="8" t="s">
        <v>4959</v>
      </c>
      <c r="F1557" s="8" t="s">
        <v>782</v>
      </c>
      <c r="G1557" s="8" t="s">
        <v>783</v>
      </c>
      <c r="H1557" s="8" t="s">
        <v>784</v>
      </c>
    </row>
    <row r="1558" customFormat="false" ht="15" hidden="false" customHeight="false" outlineLevel="0" collapsed="false">
      <c r="A1558" s="8" t="s">
        <v>4960</v>
      </c>
      <c r="B1558" s="8" t="s">
        <v>4961</v>
      </c>
      <c r="C1558" s="8" t="n">
        <v>2008</v>
      </c>
      <c r="D1558" s="8" t="s">
        <v>83</v>
      </c>
      <c r="E1558" s="8" t="s">
        <v>4962</v>
      </c>
      <c r="F1558" s="8" t="s">
        <v>782</v>
      </c>
      <c r="G1558" s="8" t="s">
        <v>801</v>
      </c>
      <c r="H1558" s="8" t="s">
        <v>915</v>
      </c>
    </row>
    <row r="1559" customFormat="false" ht="15" hidden="false" customHeight="false" outlineLevel="0" collapsed="false">
      <c r="A1559" s="8" t="s">
        <v>4963</v>
      </c>
      <c r="B1559" s="8" t="s">
        <v>4964</v>
      </c>
      <c r="C1559" s="8" t="n">
        <v>2004</v>
      </c>
      <c r="D1559" s="8" t="s">
        <v>83</v>
      </c>
      <c r="E1559" s="8" t="s">
        <v>4965</v>
      </c>
      <c r="F1559" s="8" t="s">
        <v>782</v>
      </c>
      <c r="G1559" s="8" t="s">
        <v>783</v>
      </c>
      <c r="H1559" s="8" t="s">
        <v>784</v>
      </c>
    </row>
    <row r="1560" customFormat="false" ht="15" hidden="false" customHeight="false" outlineLevel="0" collapsed="false">
      <c r="A1560" s="8" t="s">
        <v>4966</v>
      </c>
      <c r="B1560" s="8" t="s">
        <v>4967</v>
      </c>
      <c r="C1560" s="8" t="n">
        <v>2008</v>
      </c>
      <c r="D1560" s="8" t="s">
        <v>58</v>
      </c>
      <c r="E1560" s="8" t="s">
        <v>4968</v>
      </c>
      <c r="F1560" s="8" t="s">
        <v>782</v>
      </c>
      <c r="G1560" s="8" t="s">
        <v>801</v>
      </c>
      <c r="H1560" s="8" t="s">
        <v>915</v>
      </c>
    </row>
    <row r="1561" customFormat="false" ht="15" hidden="false" customHeight="false" outlineLevel="0" collapsed="false">
      <c r="A1561" s="8" t="s">
        <v>4969</v>
      </c>
      <c r="B1561" s="8" t="s">
        <v>4970</v>
      </c>
      <c r="C1561" s="8" t="n">
        <v>2007</v>
      </c>
      <c r="D1561" s="8" t="s">
        <v>58</v>
      </c>
      <c r="E1561" s="8" t="s">
        <v>4971</v>
      </c>
      <c r="F1561" s="8" t="s">
        <v>782</v>
      </c>
      <c r="G1561" s="8" t="s">
        <v>801</v>
      </c>
      <c r="H1561" s="8" t="s">
        <v>915</v>
      </c>
    </row>
    <row r="1562" customFormat="false" ht="15" hidden="false" customHeight="false" outlineLevel="0" collapsed="false">
      <c r="A1562" s="8" t="s">
        <v>4972</v>
      </c>
      <c r="B1562" s="8" t="s">
        <v>4973</v>
      </c>
      <c r="C1562" s="8" t="n">
        <v>2009</v>
      </c>
      <c r="D1562" s="8" t="s">
        <v>83</v>
      </c>
      <c r="E1562" s="8" t="s">
        <v>4974</v>
      </c>
      <c r="F1562" s="8" t="s">
        <v>782</v>
      </c>
      <c r="G1562" s="8" t="s">
        <v>801</v>
      </c>
      <c r="H1562" s="8" t="s">
        <v>915</v>
      </c>
    </row>
    <row r="1563" customFormat="false" ht="15" hidden="false" customHeight="false" outlineLevel="0" collapsed="false">
      <c r="A1563" s="8" t="s">
        <v>4975</v>
      </c>
      <c r="B1563" s="8" t="s">
        <v>4976</v>
      </c>
      <c r="C1563" s="8" t="n">
        <v>2008</v>
      </c>
      <c r="D1563" s="8" t="s">
        <v>58</v>
      </c>
      <c r="E1563" s="8" t="s">
        <v>4977</v>
      </c>
      <c r="F1563" s="8" t="s">
        <v>782</v>
      </c>
      <c r="G1563" s="8" t="s">
        <v>783</v>
      </c>
      <c r="H1563" s="8" t="s">
        <v>784</v>
      </c>
    </row>
    <row r="1564" customFormat="false" ht="15" hidden="false" customHeight="false" outlineLevel="0" collapsed="false">
      <c r="A1564" s="8" t="s">
        <v>4978</v>
      </c>
      <c r="B1564" s="8" t="s">
        <v>4979</v>
      </c>
      <c r="C1564" s="8" t="n">
        <v>2009</v>
      </c>
      <c r="D1564" s="8" t="s">
        <v>58</v>
      </c>
      <c r="E1564" s="8" t="s">
        <v>4980</v>
      </c>
      <c r="F1564" s="8" t="s">
        <v>782</v>
      </c>
      <c r="G1564" s="8" t="s">
        <v>801</v>
      </c>
      <c r="H1564" s="8" t="s">
        <v>915</v>
      </c>
    </row>
    <row r="1565" customFormat="false" ht="15" hidden="false" customHeight="false" outlineLevel="0" collapsed="false">
      <c r="A1565" s="8" t="s">
        <v>4981</v>
      </c>
      <c r="B1565" s="8" t="s">
        <v>4982</v>
      </c>
      <c r="C1565" s="8" t="n">
        <v>2008</v>
      </c>
      <c r="D1565" s="8" t="s">
        <v>83</v>
      </c>
      <c r="E1565" s="8"/>
      <c r="F1565" s="8" t="s">
        <v>782</v>
      </c>
      <c r="G1565" s="8" t="s">
        <v>801</v>
      </c>
      <c r="H1565" s="8" t="s">
        <v>915</v>
      </c>
    </row>
    <row r="1566" customFormat="false" ht="15" hidden="false" customHeight="false" outlineLevel="0" collapsed="false">
      <c r="A1566" s="8" t="s">
        <v>4983</v>
      </c>
      <c r="B1566" s="8" t="s">
        <v>4984</v>
      </c>
      <c r="C1566" s="8" t="n">
        <v>2007</v>
      </c>
      <c r="D1566" s="8" t="s">
        <v>58</v>
      </c>
      <c r="E1566" s="8" t="s">
        <v>4985</v>
      </c>
      <c r="F1566" s="8" t="s">
        <v>782</v>
      </c>
      <c r="G1566" s="8" t="s">
        <v>801</v>
      </c>
      <c r="H1566" s="8" t="s">
        <v>915</v>
      </c>
    </row>
    <row r="1567" customFormat="false" ht="15" hidden="false" customHeight="false" outlineLevel="0" collapsed="false">
      <c r="A1567" s="8" t="s">
        <v>4986</v>
      </c>
      <c r="B1567" s="8" t="s">
        <v>4987</v>
      </c>
      <c r="C1567" s="8" t="n">
        <v>2005</v>
      </c>
      <c r="D1567" s="8" t="s">
        <v>58</v>
      </c>
      <c r="E1567" s="8"/>
      <c r="F1567" s="8" t="s">
        <v>782</v>
      </c>
      <c r="G1567" s="8" t="s">
        <v>783</v>
      </c>
      <c r="H1567" s="8" t="s">
        <v>784</v>
      </c>
    </row>
    <row r="1568" customFormat="false" ht="15" hidden="false" customHeight="false" outlineLevel="0" collapsed="false">
      <c r="A1568" s="8" t="s">
        <v>4988</v>
      </c>
      <c r="B1568" s="8" t="s">
        <v>4989</v>
      </c>
      <c r="C1568" s="8" t="n">
        <v>2009</v>
      </c>
      <c r="D1568" s="8" t="s">
        <v>83</v>
      </c>
      <c r="E1568" s="8" t="s">
        <v>4990</v>
      </c>
      <c r="F1568" s="8" t="s">
        <v>782</v>
      </c>
      <c r="G1568" s="8" t="s">
        <v>783</v>
      </c>
      <c r="H1568" s="8" t="s">
        <v>784</v>
      </c>
    </row>
    <row r="1569" customFormat="false" ht="15" hidden="false" customHeight="false" outlineLevel="0" collapsed="false">
      <c r="A1569" s="8" t="s">
        <v>4991</v>
      </c>
      <c r="B1569" s="8" t="s">
        <v>4992</v>
      </c>
      <c r="C1569" s="8" t="n">
        <v>2008</v>
      </c>
      <c r="D1569" s="8" t="s">
        <v>83</v>
      </c>
      <c r="E1569" s="8" t="s">
        <v>4993</v>
      </c>
      <c r="F1569" s="8" t="s">
        <v>782</v>
      </c>
      <c r="G1569" s="8" t="s">
        <v>801</v>
      </c>
      <c r="H1569" s="8" t="s">
        <v>915</v>
      </c>
    </row>
    <row r="1570" customFormat="false" ht="15" hidden="false" customHeight="false" outlineLevel="0" collapsed="false">
      <c r="A1570" s="8" t="s">
        <v>4994</v>
      </c>
      <c r="B1570" s="8" t="s">
        <v>4995</v>
      </c>
      <c r="C1570" s="8" t="n">
        <v>2007</v>
      </c>
      <c r="D1570" s="8" t="s">
        <v>58</v>
      </c>
      <c r="E1570" s="8" t="s">
        <v>4996</v>
      </c>
      <c r="F1570" s="8" t="s">
        <v>782</v>
      </c>
      <c r="G1570" s="8" t="s">
        <v>801</v>
      </c>
      <c r="H1570" s="8" t="s">
        <v>915</v>
      </c>
    </row>
    <row r="1571" customFormat="false" ht="15" hidden="false" customHeight="false" outlineLevel="0" collapsed="false">
      <c r="A1571" s="8" t="s">
        <v>4997</v>
      </c>
      <c r="B1571" s="8" t="s">
        <v>4998</v>
      </c>
      <c r="C1571" s="8" t="n">
        <v>2004</v>
      </c>
      <c r="D1571" s="8" t="s">
        <v>58</v>
      </c>
      <c r="E1571" s="8"/>
      <c r="F1571" s="8" t="s">
        <v>782</v>
      </c>
      <c r="G1571" s="8" t="s">
        <v>801</v>
      </c>
      <c r="H1571" s="8" t="s">
        <v>915</v>
      </c>
    </row>
    <row r="1572" customFormat="false" ht="15" hidden="false" customHeight="false" outlineLevel="0" collapsed="false">
      <c r="A1572" s="8" t="s">
        <v>4999</v>
      </c>
      <c r="B1572" s="8" t="s">
        <v>5000</v>
      </c>
      <c r="C1572" s="8" t="n">
        <v>2005</v>
      </c>
      <c r="D1572" s="8" t="s">
        <v>58</v>
      </c>
      <c r="E1572" s="8" t="s">
        <v>5001</v>
      </c>
      <c r="F1572" s="8" t="s">
        <v>782</v>
      </c>
      <c r="G1572" s="8" t="s">
        <v>801</v>
      </c>
      <c r="H1572" s="8" t="s">
        <v>802</v>
      </c>
    </row>
    <row r="1573" customFormat="false" ht="15" hidden="false" customHeight="false" outlineLevel="0" collapsed="false">
      <c r="A1573" s="8" t="s">
        <v>5002</v>
      </c>
      <c r="B1573" s="8" t="s">
        <v>5003</v>
      </c>
      <c r="C1573" s="8" t="n">
        <v>2009</v>
      </c>
      <c r="D1573" s="8" t="s">
        <v>58</v>
      </c>
      <c r="E1573" s="8" t="s">
        <v>5004</v>
      </c>
      <c r="F1573" s="8" t="s">
        <v>782</v>
      </c>
      <c r="G1573" s="8" t="s">
        <v>801</v>
      </c>
      <c r="H1573" s="8" t="s">
        <v>915</v>
      </c>
    </row>
    <row r="1574" customFormat="false" ht="15" hidden="false" customHeight="false" outlineLevel="0" collapsed="false">
      <c r="A1574" s="8" t="s">
        <v>5005</v>
      </c>
      <c r="B1574" s="8" t="s">
        <v>5006</v>
      </c>
      <c r="C1574" s="8" t="n">
        <v>2008</v>
      </c>
      <c r="D1574" s="8" t="s">
        <v>58</v>
      </c>
      <c r="E1574" s="8" t="s">
        <v>5007</v>
      </c>
      <c r="F1574" s="8" t="s">
        <v>782</v>
      </c>
      <c r="G1574" s="8" t="s">
        <v>801</v>
      </c>
      <c r="H1574" s="8" t="s">
        <v>915</v>
      </c>
    </row>
    <row r="1575" customFormat="false" ht="15" hidden="false" customHeight="false" outlineLevel="0" collapsed="false">
      <c r="A1575" s="8" t="s">
        <v>5008</v>
      </c>
      <c r="B1575" s="8" t="s">
        <v>5009</v>
      </c>
      <c r="C1575" s="8" t="n">
        <v>2009</v>
      </c>
      <c r="D1575" s="8" t="s">
        <v>58</v>
      </c>
      <c r="E1575" s="8" t="s">
        <v>5010</v>
      </c>
      <c r="F1575" s="8" t="s">
        <v>782</v>
      </c>
      <c r="G1575" s="8" t="s">
        <v>783</v>
      </c>
      <c r="H1575" s="8" t="s">
        <v>784</v>
      </c>
    </row>
    <row r="1576" customFormat="false" ht="15" hidden="false" customHeight="false" outlineLevel="0" collapsed="false">
      <c r="A1576" s="8" t="s">
        <v>5011</v>
      </c>
      <c r="B1576" s="8" t="s">
        <v>5012</v>
      </c>
      <c r="C1576" s="8" t="n">
        <v>2008</v>
      </c>
      <c r="D1576" s="8" t="s">
        <v>83</v>
      </c>
      <c r="E1576" s="8" t="s">
        <v>5013</v>
      </c>
      <c r="F1576" s="8" t="s">
        <v>782</v>
      </c>
      <c r="G1576" s="8" t="s">
        <v>783</v>
      </c>
      <c r="H1576" s="8" t="s">
        <v>784</v>
      </c>
    </row>
    <row r="1577" customFormat="false" ht="15" hidden="false" customHeight="false" outlineLevel="0" collapsed="false">
      <c r="A1577" s="8" t="s">
        <v>5014</v>
      </c>
      <c r="B1577" s="8" t="s">
        <v>5015</v>
      </c>
      <c r="C1577" s="8" t="n">
        <v>2008</v>
      </c>
      <c r="D1577" s="8" t="s">
        <v>83</v>
      </c>
      <c r="E1577" s="8" t="s">
        <v>5016</v>
      </c>
      <c r="F1577" s="8" t="s">
        <v>782</v>
      </c>
      <c r="G1577" s="8" t="s">
        <v>783</v>
      </c>
      <c r="H1577" s="8" t="s">
        <v>861</v>
      </c>
    </row>
    <row r="1578" customFormat="false" ht="15" hidden="false" customHeight="false" outlineLevel="0" collapsed="false">
      <c r="A1578" s="8" t="s">
        <v>5017</v>
      </c>
      <c r="B1578" s="8" t="s">
        <v>5018</v>
      </c>
      <c r="C1578" s="8" t="n">
        <v>2007</v>
      </c>
      <c r="D1578" s="8" t="s">
        <v>58</v>
      </c>
      <c r="E1578" s="8"/>
      <c r="F1578" s="8" t="s">
        <v>782</v>
      </c>
      <c r="G1578" s="8" t="s">
        <v>801</v>
      </c>
      <c r="H1578" s="8" t="s">
        <v>915</v>
      </c>
    </row>
    <row r="1579" customFormat="false" ht="15" hidden="false" customHeight="false" outlineLevel="0" collapsed="false">
      <c r="A1579" s="8" t="s">
        <v>5019</v>
      </c>
      <c r="B1579" s="8" t="s">
        <v>5020</v>
      </c>
      <c r="C1579" s="8" t="n">
        <v>2008</v>
      </c>
      <c r="D1579" s="8" t="s">
        <v>58</v>
      </c>
      <c r="E1579" s="8" t="s">
        <v>5021</v>
      </c>
      <c r="F1579" s="8" t="s">
        <v>782</v>
      </c>
      <c r="G1579" s="8" t="s">
        <v>801</v>
      </c>
      <c r="H1579" s="8" t="s">
        <v>915</v>
      </c>
    </row>
    <row r="1580" customFormat="false" ht="15" hidden="false" customHeight="false" outlineLevel="0" collapsed="false">
      <c r="A1580" s="8" t="s">
        <v>5022</v>
      </c>
      <c r="B1580" s="8" t="s">
        <v>5023</v>
      </c>
      <c r="C1580" s="8" t="n">
        <v>2007</v>
      </c>
      <c r="D1580" s="8" t="s">
        <v>58</v>
      </c>
      <c r="E1580" s="8" t="s">
        <v>5024</v>
      </c>
      <c r="F1580" s="8" t="s">
        <v>782</v>
      </c>
      <c r="G1580" s="8" t="s">
        <v>783</v>
      </c>
      <c r="H1580" s="8" t="s">
        <v>784</v>
      </c>
    </row>
    <row r="1581" customFormat="false" ht="15" hidden="false" customHeight="false" outlineLevel="0" collapsed="false">
      <c r="A1581" s="8" t="s">
        <v>5025</v>
      </c>
      <c r="B1581" s="8" t="s">
        <v>5026</v>
      </c>
      <c r="C1581" s="8" t="n">
        <v>2008</v>
      </c>
      <c r="D1581" s="8" t="s">
        <v>58</v>
      </c>
      <c r="E1581" s="8" t="s">
        <v>5027</v>
      </c>
      <c r="F1581" s="8" t="s">
        <v>782</v>
      </c>
      <c r="G1581" s="8" t="s">
        <v>783</v>
      </c>
      <c r="H1581" s="8" t="s">
        <v>861</v>
      </c>
    </row>
    <row r="1582" customFormat="false" ht="15" hidden="false" customHeight="false" outlineLevel="0" collapsed="false">
      <c r="A1582" s="8" t="s">
        <v>5028</v>
      </c>
      <c r="B1582" s="8" t="s">
        <v>5029</v>
      </c>
      <c r="C1582" s="8" t="n">
        <v>2008</v>
      </c>
      <c r="D1582" s="8" t="s">
        <v>58</v>
      </c>
      <c r="E1582" s="8" t="s">
        <v>5030</v>
      </c>
      <c r="F1582" s="8" t="s">
        <v>782</v>
      </c>
      <c r="G1582" s="8" t="s">
        <v>801</v>
      </c>
      <c r="H1582" s="8" t="s">
        <v>915</v>
      </c>
    </row>
    <row r="1583" customFormat="false" ht="15" hidden="false" customHeight="false" outlineLevel="0" collapsed="false">
      <c r="A1583" s="8" t="s">
        <v>5031</v>
      </c>
      <c r="B1583" s="8" t="s">
        <v>5032</v>
      </c>
      <c r="C1583" s="8" t="n">
        <v>2008</v>
      </c>
      <c r="D1583" s="8" t="s">
        <v>58</v>
      </c>
      <c r="E1583" s="8"/>
      <c r="F1583" s="8" t="s">
        <v>782</v>
      </c>
      <c r="G1583" s="8" t="s">
        <v>783</v>
      </c>
      <c r="H1583" s="8" t="s">
        <v>784</v>
      </c>
    </row>
    <row r="1584" customFormat="false" ht="15" hidden="false" customHeight="false" outlineLevel="0" collapsed="false">
      <c r="A1584" s="8" t="s">
        <v>5033</v>
      </c>
      <c r="B1584" s="8" t="s">
        <v>5034</v>
      </c>
      <c r="C1584" s="8" t="n">
        <v>2008</v>
      </c>
      <c r="D1584" s="8" t="s">
        <v>58</v>
      </c>
      <c r="E1584" s="8" t="s">
        <v>5035</v>
      </c>
      <c r="F1584" s="8" t="s">
        <v>782</v>
      </c>
      <c r="G1584" s="8" t="s">
        <v>966</v>
      </c>
      <c r="H1584" s="8" t="s">
        <v>967</v>
      </c>
    </row>
    <row r="1585" customFormat="false" ht="15" hidden="false" customHeight="false" outlineLevel="0" collapsed="false">
      <c r="A1585" s="8" t="s">
        <v>5036</v>
      </c>
      <c r="B1585" s="8" t="s">
        <v>5037</v>
      </c>
      <c r="C1585" s="8" t="n">
        <v>2008</v>
      </c>
      <c r="D1585" s="8" t="s">
        <v>58</v>
      </c>
      <c r="E1585" s="8"/>
      <c r="F1585" s="8" t="s">
        <v>782</v>
      </c>
      <c r="G1585" s="8" t="s">
        <v>783</v>
      </c>
      <c r="H1585" s="8" t="s">
        <v>784</v>
      </c>
    </row>
    <row r="1586" customFormat="false" ht="15" hidden="false" customHeight="false" outlineLevel="0" collapsed="false">
      <c r="A1586" s="8" t="s">
        <v>5038</v>
      </c>
      <c r="B1586" s="8" t="s">
        <v>5039</v>
      </c>
      <c r="C1586" s="8" t="n">
        <v>2008</v>
      </c>
      <c r="D1586" s="8" t="s">
        <v>58</v>
      </c>
      <c r="E1586" s="8" t="s">
        <v>5040</v>
      </c>
      <c r="F1586" s="8" t="s">
        <v>782</v>
      </c>
      <c r="G1586" s="8" t="s">
        <v>783</v>
      </c>
      <c r="H1586" s="8" t="s">
        <v>784</v>
      </c>
    </row>
    <row r="1587" customFormat="false" ht="15" hidden="false" customHeight="false" outlineLevel="0" collapsed="false">
      <c r="A1587" s="8" t="s">
        <v>5041</v>
      </c>
      <c r="B1587" s="8" t="s">
        <v>5042</v>
      </c>
      <c r="C1587" s="8" t="n">
        <v>2008</v>
      </c>
      <c r="D1587" s="8" t="s">
        <v>58</v>
      </c>
      <c r="E1587" s="8" t="s">
        <v>5043</v>
      </c>
      <c r="F1587" s="8" t="s">
        <v>782</v>
      </c>
      <c r="G1587" s="8" t="s">
        <v>783</v>
      </c>
      <c r="H1587" s="8" t="s">
        <v>784</v>
      </c>
    </row>
    <row r="1588" customFormat="false" ht="15" hidden="false" customHeight="false" outlineLevel="0" collapsed="false">
      <c r="A1588" s="8" t="s">
        <v>5044</v>
      </c>
      <c r="B1588" s="8" t="s">
        <v>5045</v>
      </c>
      <c r="C1588" s="8" t="n">
        <v>2004</v>
      </c>
      <c r="D1588" s="8" t="s">
        <v>58</v>
      </c>
      <c r="E1588" s="8" t="s">
        <v>5046</v>
      </c>
      <c r="F1588" s="8" t="s">
        <v>782</v>
      </c>
      <c r="G1588" s="8" t="s">
        <v>801</v>
      </c>
      <c r="H1588" s="8" t="s">
        <v>802</v>
      </c>
    </row>
    <row r="1589" customFormat="false" ht="15" hidden="false" customHeight="false" outlineLevel="0" collapsed="false">
      <c r="A1589" s="8" t="s">
        <v>5047</v>
      </c>
      <c r="B1589" s="8" t="s">
        <v>5048</v>
      </c>
      <c r="C1589" s="8" t="n">
        <v>2008</v>
      </c>
      <c r="D1589" s="8" t="s">
        <v>58</v>
      </c>
      <c r="E1589" s="8" t="s">
        <v>5049</v>
      </c>
      <c r="F1589" s="8" t="s">
        <v>782</v>
      </c>
      <c r="G1589" s="8" t="s">
        <v>801</v>
      </c>
      <c r="H1589" s="8" t="s">
        <v>915</v>
      </c>
    </row>
    <row r="1590" customFormat="false" ht="15" hidden="false" customHeight="false" outlineLevel="0" collapsed="false">
      <c r="A1590" s="8" t="s">
        <v>5050</v>
      </c>
      <c r="B1590" s="8" t="s">
        <v>5051</v>
      </c>
      <c r="C1590" s="8" t="n">
        <v>2009</v>
      </c>
      <c r="D1590" s="8" t="s">
        <v>83</v>
      </c>
      <c r="E1590" s="8" t="s">
        <v>5052</v>
      </c>
      <c r="F1590" s="8" t="s">
        <v>782</v>
      </c>
      <c r="G1590" s="8" t="s">
        <v>783</v>
      </c>
      <c r="H1590" s="8" t="s">
        <v>784</v>
      </c>
    </row>
    <row r="1591" customFormat="false" ht="15" hidden="false" customHeight="false" outlineLevel="0" collapsed="false">
      <c r="A1591" s="8" t="s">
        <v>5053</v>
      </c>
      <c r="B1591" s="8" t="s">
        <v>5054</v>
      </c>
      <c r="C1591" s="8" t="n">
        <v>2008</v>
      </c>
      <c r="D1591" s="8" t="s">
        <v>58</v>
      </c>
      <c r="E1591" s="8" t="s">
        <v>5055</v>
      </c>
      <c r="F1591" s="8" t="s">
        <v>782</v>
      </c>
      <c r="G1591" s="8" t="s">
        <v>783</v>
      </c>
      <c r="H1591" s="8" t="s">
        <v>784</v>
      </c>
    </row>
    <row r="1592" customFormat="false" ht="15" hidden="false" customHeight="false" outlineLevel="0" collapsed="false">
      <c r="A1592" s="8" t="s">
        <v>5056</v>
      </c>
      <c r="B1592" s="8" t="s">
        <v>5057</v>
      </c>
      <c r="C1592" s="8" t="n">
        <v>2006</v>
      </c>
      <c r="D1592" s="8" t="s">
        <v>58</v>
      </c>
      <c r="E1592" s="8" t="s">
        <v>5058</v>
      </c>
      <c r="F1592" s="8" t="s">
        <v>782</v>
      </c>
      <c r="G1592" s="8" t="s">
        <v>783</v>
      </c>
      <c r="H1592" s="8" t="s">
        <v>784</v>
      </c>
    </row>
    <row r="1593" customFormat="false" ht="15" hidden="false" customHeight="false" outlineLevel="0" collapsed="false">
      <c r="A1593" s="8" t="s">
        <v>5059</v>
      </c>
      <c r="B1593" s="8" t="s">
        <v>5060</v>
      </c>
      <c r="C1593" s="8" t="n">
        <v>2009</v>
      </c>
      <c r="D1593" s="8" t="s">
        <v>58</v>
      </c>
      <c r="E1593" s="8"/>
      <c r="F1593" s="8" t="s">
        <v>782</v>
      </c>
      <c r="G1593" s="8" t="s">
        <v>783</v>
      </c>
      <c r="H1593" s="8" t="s">
        <v>784</v>
      </c>
    </row>
    <row r="1594" customFormat="false" ht="15" hidden="false" customHeight="false" outlineLevel="0" collapsed="false">
      <c r="A1594" s="8" t="s">
        <v>5061</v>
      </c>
      <c r="B1594" s="8" t="s">
        <v>5062</v>
      </c>
      <c r="C1594" s="8" t="n">
        <v>2008</v>
      </c>
      <c r="D1594" s="8" t="s">
        <v>58</v>
      </c>
      <c r="E1594" s="8" t="s">
        <v>5063</v>
      </c>
      <c r="F1594" s="8" t="s">
        <v>782</v>
      </c>
      <c r="G1594" s="8" t="s">
        <v>801</v>
      </c>
      <c r="H1594" s="8" t="s">
        <v>915</v>
      </c>
    </row>
    <row r="1595" customFormat="false" ht="15" hidden="false" customHeight="false" outlineLevel="0" collapsed="false">
      <c r="A1595" s="8" t="s">
        <v>5064</v>
      </c>
      <c r="B1595" s="8" t="s">
        <v>5065</v>
      </c>
      <c r="C1595" s="8" t="n">
        <v>2004</v>
      </c>
      <c r="D1595" s="8" t="s">
        <v>58</v>
      </c>
      <c r="E1595" s="8"/>
      <c r="F1595" s="8" t="s">
        <v>782</v>
      </c>
      <c r="G1595" s="8" t="s">
        <v>783</v>
      </c>
      <c r="H1595" s="8" t="s">
        <v>784</v>
      </c>
    </row>
    <row r="1596" customFormat="false" ht="15" hidden="false" customHeight="false" outlineLevel="0" collapsed="false">
      <c r="A1596" s="8" t="s">
        <v>5066</v>
      </c>
      <c r="B1596" s="8" t="s">
        <v>5067</v>
      </c>
      <c r="C1596" s="8" t="n">
        <v>2004</v>
      </c>
      <c r="D1596" s="8" t="s">
        <v>58</v>
      </c>
      <c r="E1596" s="8"/>
      <c r="F1596" s="8" t="s">
        <v>782</v>
      </c>
      <c r="G1596" s="8" t="s">
        <v>783</v>
      </c>
      <c r="H1596" s="8" t="s">
        <v>861</v>
      </c>
    </row>
    <row r="1597" customFormat="false" ht="15" hidden="false" customHeight="false" outlineLevel="0" collapsed="false">
      <c r="A1597" s="8" t="s">
        <v>5068</v>
      </c>
      <c r="B1597" s="8" t="s">
        <v>5069</v>
      </c>
      <c r="C1597" s="8" t="n">
        <v>2008</v>
      </c>
      <c r="D1597" s="8" t="s">
        <v>58</v>
      </c>
      <c r="E1597" s="8" t="s">
        <v>5070</v>
      </c>
      <c r="F1597" s="8" t="s">
        <v>782</v>
      </c>
      <c r="G1597" s="8" t="s">
        <v>801</v>
      </c>
      <c r="H1597" s="8" t="s">
        <v>915</v>
      </c>
    </row>
    <row r="1598" customFormat="false" ht="15" hidden="false" customHeight="false" outlineLevel="0" collapsed="false">
      <c r="A1598" s="8" t="s">
        <v>5071</v>
      </c>
      <c r="B1598" s="8" t="s">
        <v>5072</v>
      </c>
      <c r="C1598" s="8" t="n">
        <v>2008</v>
      </c>
      <c r="D1598" s="8" t="s">
        <v>58</v>
      </c>
      <c r="E1598" s="8"/>
      <c r="F1598" s="8" t="s">
        <v>782</v>
      </c>
      <c r="G1598" s="8" t="s">
        <v>783</v>
      </c>
      <c r="H1598" s="8" t="s">
        <v>861</v>
      </c>
    </row>
    <row r="1599" customFormat="false" ht="15" hidden="false" customHeight="false" outlineLevel="0" collapsed="false">
      <c r="A1599" s="8" t="s">
        <v>5073</v>
      </c>
      <c r="B1599" s="8" t="s">
        <v>5074</v>
      </c>
      <c r="C1599" s="8" t="n">
        <v>2009</v>
      </c>
      <c r="D1599" s="8" t="s">
        <v>83</v>
      </c>
      <c r="E1599" s="8" t="s">
        <v>5075</v>
      </c>
      <c r="F1599" s="8" t="s">
        <v>782</v>
      </c>
      <c r="G1599" s="8" t="s">
        <v>801</v>
      </c>
      <c r="H1599" s="8" t="s">
        <v>915</v>
      </c>
    </row>
    <row r="1600" customFormat="false" ht="15" hidden="false" customHeight="false" outlineLevel="0" collapsed="false">
      <c r="A1600" s="8" t="s">
        <v>5076</v>
      </c>
      <c r="B1600" s="8" t="s">
        <v>5077</v>
      </c>
      <c r="C1600" s="8" t="n">
        <v>2006</v>
      </c>
      <c r="D1600" s="8" t="s">
        <v>58</v>
      </c>
      <c r="E1600" s="8"/>
      <c r="F1600" s="8" t="s">
        <v>782</v>
      </c>
      <c r="G1600" s="8" t="s">
        <v>783</v>
      </c>
      <c r="H1600" s="8" t="s">
        <v>784</v>
      </c>
    </row>
    <row r="1601" customFormat="false" ht="15" hidden="false" customHeight="false" outlineLevel="0" collapsed="false">
      <c r="A1601" s="8" t="s">
        <v>5078</v>
      </c>
      <c r="B1601" s="8" t="s">
        <v>5079</v>
      </c>
      <c r="C1601" s="8" t="n">
        <v>2008</v>
      </c>
      <c r="D1601" s="8" t="s">
        <v>58</v>
      </c>
      <c r="E1601" s="8" t="s">
        <v>5080</v>
      </c>
      <c r="F1601" s="8" t="s">
        <v>782</v>
      </c>
      <c r="G1601" s="8" t="s">
        <v>801</v>
      </c>
      <c r="H1601" s="8" t="s">
        <v>915</v>
      </c>
    </row>
    <row r="1602" customFormat="false" ht="15" hidden="false" customHeight="false" outlineLevel="0" collapsed="false">
      <c r="A1602" s="8" t="s">
        <v>5081</v>
      </c>
      <c r="B1602" s="8" t="s">
        <v>5082</v>
      </c>
      <c r="C1602" s="8" t="n">
        <v>2009</v>
      </c>
      <c r="D1602" s="8" t="s">
        <v>58</v>
      </c>
      <c r="E1602" s="8" t="s">
        <v>5083</v>
      </c>
      <c r="F1602" s="8" t="s">
        <v>782</v>
      </c>
      <c r="G1602" s="8" t="s">
        <v>801</v>
      </c>
      <c r="H1602" s="8" t="s">
        <v>915</v>
      </c>
    </row>
    <row r="1603" customFormat="false" ht="15" hidden="false" customHeight="false" outlineLevel="0" collapsed="false">
      <c r="A1603" s="8" t="s">
        <v>5084</v>
      </c>
      <c r="B1603" s="8" t="s">
        <v>5085</v>
      </c>
      <c r="C1603" s="8" t="n">
        <v>2008</v>
      </c>
      <c r="D1603" s="8" t="s">
        <v>58</v>
      </c>
      <c r="E1603" s="8" t="s">
        <v>5086</v>
      </c>
      <c r="F1603" s="8" t="s">
        <v>782</v>
      </c>
      <c r="G1603" s="8" t="s">
        <v>801</v>
      </c>
      <c r="H1603" s="8" t="s">
        <v>915</v>
      </c>
    </row>
    <row r="1604" customFormat="false" ht="15" hidden="false" customHeight="false" outlineLevel="0" collapsed="false">
      <c r="A1604" s="8" t="s">
        <v>5087</v>
      </c>
      <c r="B1604" s="8" t="s">
        <v>5088</v>
      </c>
      <c r="C1604" s="8" t="n">
        <v>2008</v>
      </c>
      <c r="D1604" s="8" t="s">
        <v>58</v>
      </c>
      <c r="E1604" s="8" t="s">
        <v>5089</v>
      </c>
      <c r="F1604" s="8" t="s">
        <v>782</v>
      </c>
      <c r="G1604" s="8" t="s">
        <v>801</v>
      </c>
      <c r="H1604" s="8" t="s">
        <v>915</v>
      </c>
    </row>
    <row r="1605" customFormat="false" ht="15" hidden="false" customHeight="false" outlineLevel="0" collapsed="false">
      <c r="A1605" s="8" t="s">
        <v>5090</v>
      </c>
      <c r="B1605" s="8" t="s">
        <v>5091</v>
      </c>
      <c r="C1605" s="8" t="n">
        <v>2008</v>
      </c>
      <c r="D1605" s="8" t="s">
        <v>83</v>
      </c>
      <c r="E1605" s="8" t="s">
        <v>5092</v>
      </c>
      <c r="F1605" s="8" t="s">
        <v>782</v>
      </c>
      <c r="G1605" s="8" t="s">
        <v>801</v>
      </c>
      <c r="H1605" s="8" t="s">
        <v>915</v>
      </c>
    </row>
    <row r="1606" customFormat="false" ht="15" hidden="false" customHeight="false" outlineLevel="0" collapsed="false">
      <c r="A1606" s="8" t="s">
        <v>5093</v>
      </c>
      <c r="B1606" s="8" t="s">
        <v>5094</v>
      </c>
      <c r="C1606" s="8" t="n">
        <v>2009</v>
      </c>
      <c r="D1606" s="8" t="s">
        <v>58</v>
      </c>
      <c r="E1606" s="8"/>
      <c r="F1606" s="8" t="s">
        <v>782</v>
      </c>
      <c r="G1606" s="8" t="s">
        <v>801</v>
      </c>
      <c r="H1606" s="8" t="s">
        <v>915</v>
      </c>
    </row>
    <row r="1607" customFormat="false" ht="15" hidden="false" customHeight="false" outlineLevel="0" collapsed="false">
      <c r="A1607" s="8" t="s">
        <v>5095</v>
      </c>
      <c r="B1607" s="8" t="s">
        <v>5096</v>
      </c>
      <c r="C1607" s="8" t="n">
        <v>2008</v>
      </c>
      <c r="D1607" s="8" t="s">
        <v>83</v>
      </c>
      <c r="E1607" s="8" t="s">
        <v>5097</v>
      </c>
      <c r="F1607" s="8" t="s">
        <v>782</v>
      </c>
      <c r="G1607" s="8" t="s">
        <v>801</v>
      </c>
      <c r="H1607" s="8" t="s">
        <v>915</v>
      </c>
    </row>
    <row r="1608" customFormat="false" ht="15" hidden="false" customHeight="false" outlineLevel="0" collapsed="false">
      <c r="A1608" s="8" t="s">
        <v>5098</v>
      </c>
      <c r="B1608" s="8" t="s">
        <v>5099</v>
      </c>
      <c r="C1608" s="8" t="n">
        <v>2007</v>
      </c>
      <c r="D1608" s="8" t="s">
        <v>58</v>
      </c>
      <c r="E1608" s="8"/>
      <c r="F1608" s="8" t="s">
        <v>782</v>
      </c>
      <c r="G1608" s="8" t="s">
        <v>801</v>
      </c>
      <c r="H1608" s="8" t="s">
        <v>915</v>
      </c>
    </row>
    <row r="1609" customFormat="false" ht="15" hidden="false" customHeight="false" outlineLevel="0" collapsed="false">
      <c r="A1609" s="8" t="s">
        <v>5100</v>
      </c>
      <c r="B1609" s="8" t="s">
        <v>5101</v>
      </c>
      <c r="C1609" s="8" t="n">
        <v>2007</v>
      </c>
      <c r="D1609" s="8" t="s">
        <v>58</v>
      </c>
      <c r="E1609" s="8" t="s">
        <v>5102</v>
      </c>
      <c r="F1609" s="8" t="s">
        <v>782</v>
      </c>
      <c r="G1609" s="8" t="s">
        <v>801</v>
      </c>
      <c r="H1609" s="8" t="s">
        <v>915</v>
      </c>
    </row>
    <row r="1610" customFormat="false" ht="15" hidden="false" customHeight="false" outlineLevel="0" collapsed="false">
      <c r="A1610" s="8" t="s">
        <v>5103</v>
      </c>
      <c r="B1610" s="8" t="s">
        <v>5104</v>
      </c>
      <c r="C1610" s="8" t="n">
        <v>2009</v>
      </c>
      <c r="D1610" s="8" t="s">
        <v>58</v>
      </c>
      <c r="E1610" s="8" t="s">
        <v>5105</v>
      </c>
      <c r="F1610" s="8" t="s">
        <v>782</v>
      </c>
      <c r="G1610" s="8" t="s">
        <v>801</v>
      </c>
      <c r="H1610" s="8" t="s">
        <v>915</v>
      </c>
    </row>
    <row r="1611" customFormat="false" ht="15" hidden="false" customHeight="false" outlineLevel="0" collapsed="false">
      <c r="A1611" s="8" t="s">
        <v>5106</v>
      </c>
      <c r="B1611" s="8" t="s">
        <v>5107</v>
      </c>
      <c r="C1611" s="8" t="n">
        <v>2008</v>
      </c>
      <c r="D1611" s="8" t="s">
        <v>58</v>
      </c>
      <c r="E1611" s="8" t="s">
        <v>5108</v>
      </c>
      <c r="F1611" s="8" t="s">
        <v>782</v>
      </c>
      <c r="G1611" s="8" t="s">
        <v>801</v>
      </c>
      <c r="H1611" s="8" t="s">
        <v>915</v>
      </c>
    </row>
    <row r="1612" customFormat="false" ht="15" hidden="false" customHeight="false" outlineLevel="0" collapsed="false">
      <c r="A1612" s="8" t="s">
        <v>5109</v>
      </c>
      <c r="B1612" s="8" t="s">
        <v>5110</v>
      </c>
      <c r="C1612" s="8" t="n">
        <v>2004</v>
      </c>
      <c r="D1612" s="8" t="s">
        <v>83</v>
      </c>
      <c r="E1612" s="8" t="s">
        <v>5111</v>
      </c>
      <c r="F1612" s="8" t="s">
        <v>782</v>
      </c>
      <c r="G1612" s="8" t="s">
        <v>783</v>
      </c>
      <c r="H1612" s="8" t="s">
        <v>784</v>
      </c>
    </row>
    <row r="1613" customFormat="false" ht="15" hidden="false" customHeight="false" outlineLevel="0" collapsed="false">
      <c r="A1613" s="8" t="s">
        <v>5112</v>
      </c>
      <c r="B1613" s="8" t="s">
        <v>5113</v>
      </c>
      <c r="C1613" s="8" t="n">
        <v>2007</v>
      </c>
      <c r="D1613" s="8" t="s">
        <v>58</v>
      </c>
      <c r="E1613" s="8"/>
      <c r="F1613" s="8" t="s">
        <v>782</v>
      </c>
      <c r="G1613" s="8" t="s">
        <v>783</v>
      </c>
      <c r="H1613" s="8" t="s">
        <v>784</v>
      </c>
    </row>
    <row r="1614" customFormat="false" ht="15" hidden="false" customHeight="false" outlineLevel="0" collapsed="false">
      <c r="A1614" s="8" t="s">
        <v>5114</v>
      </c>
      <c r="B1614" s="8" t="s">
        <v>5115</v>
      </c>
      <c r="C1614" s="8" t="n">
        <v>2008</v>
      </c>
      <c r="D1614" s="8" t="s">
        <v>58</v>
      </c>
      <c r="E1614" s="8" t="s">
        <v>5116</v>
      </c>
      <c r="F1614" s="8" t="s">
        <v>782</v>
      </c>
      <c r="G1614" s="8" t="s">
        <v>801</v>
      </c>
      <c r="H1614" s="8" t="s">
        <v>915</v>
      </c>
    </row>
    <row r="1615" customFormat="false" ht="15" hidden="false" customHeight="false" outlineLevel="0" collapsed="false">
      <c r="A1615" s="8" t="s">
        <v>5117</v>
      </c>
      <c r="B1615" s="8" t="s">
        <v>5118</v>
      </c>
      <c r="C1615" s="8" t="n">
        <v>2007</v>
      </c>
      <c r="D1615" s="8" t="s">
        <v>58</v>
      </c>
      <c r="E1615" s="8" t="s">
        <v>5119</v>
      </c>
      <c r="F1615" s="8" t="s">
        <v>782</v>
      </c>
      <c r="G1615" s="8" t="s">
        <v>801</v>
      </c>
      <c r="H1615" s="8" t="s">
        <v>915</v>
      </c>
    </row>
    <row r="1616" customFormat="false" ht="15" hidden="false" customHeight="false" outlineLevel="0" collapsed="false">
      <c r="A1616" s="8" t="s">
        <v>5120</v>
      </c>
      <c r="B1616" s="8" t="s">
        <v>5121</v>
      </c>
      <c r="C1616" s="8" t="n">
        <v>2009</v>
      </c>
      <c r="D1616" s="8" t="s">
        <v>83</v>
      </c>
      <c r="E1616" s="8" t="s">
        <v>5122</v>
      </c>
      <c r="F1616" s="8" t="s">
        <v>782</v>
      </c>
      <c r="G1616" s="8" t="s">
        <v>783</v>
      </c>
      <c r="H1616" s="8" t="s">
        <v>784</v>
      </c>
    </row>
    <row r="1617" customFormat="false" ht="15" hidden="false" customHeight="false" outlineLevel="0" collapsed="false">
      <c r="A1617" s="8" t="s">
        <v>5123</v>
      </c>
      <c r="B1617" s="8" t="s">
        <v>5124</v>
      </c>
      <c r="C1617" s="8" t="n">
        <v>2007</v>
      </c>
      <c r="D1617" s="8" t="s">
        <v>58</v>
      </c>
      <c r="E1617" s="8" t="s">
        <v>5125</v>
      </c>
      <c r="F1617" s="8" t="s">
        <v>782</v>
      </c>
      <c r="G1617" s="8" t="s">
        <v>801</v>
      </c>
      <c r="H1617" s="8" t="s">
        <v>915</v>
      </c>
    </row>
    <row r="1618" customFormat="false" ht="15" hidden="false" customHeight="false" outlineLevel="0" collapsed="false">
      <c r="A1618" s="8" t="s">
        <v>5126</v>
      </c>
      <c r="B1618" s="8" t="s">
        <v>5127</v>
      </c>
      <c r="C1618" s="8" t="n">
        <v>2009</v>
      </c>
      <c r="D1618" s="8" t="s">
        <v>58</v>
      </c>
      <c r="E1618" s="8"/>
      <c r="F1618" s="8" t="s">
        <v>782</v>
      </c>
      <c r="G1618" s="8" t="s">
        <v>783</v>
      </c>
      <c r="H1618" s="8" t="s">
        <v>784</v>
      </c>
    </row>
    <row r="1619" customFormat="false" ht="15" hidden="false" customHeight="false" outlineLevel="0" collapsed="false">
      <c r="A1619" s="8" t="s">
        <v>5128</v>
      </c>
      <c r="B1619" s="8" t="s">
        <v>5129</v>
      </c>
      <c r="C1619" s="8" t="n">
        <v>2007</v>
      </c>
      <c r="D1619" s="8" t="s">
        <v>58</v>
      </c>
      <c r="E1619" s="8" t="s">
        <v>5130</v>
      </c>
      <c r="F1619" s="8" t="s">
        <v>782</v>
      </c>
      <c r="G1619" s="8" t="s">
        <v>783</v>
      </c>
      <c r="H1619" s="8" t="s">
        <v>784</v>
      </c>
    </row>
    <row r="1620" customFormat="false" ht="15" hidden="false" customHeight="false" outlineLevel="0" collapsed="false">
      <c r="A1620" s="8" t="s">
        <v>5131</v>
      </c>
      <c r="B1620" s="8" t="s">
        <v>5132</v>
      </c>
      <c r="C1620" s="8" t="n">
        <v>2008</v>
      </c>
      <c r="D1620" s="8" t="s">
        <v>58</v>
      </c>
      <c r="E1620" s="8" t="s">
        <v>5133</v>
      </c>
      <c r="F1620" s="8" t="s">
        <v>782</v>
      </c>
      <c r="G1620" s="8" t="s">
        <v>801</v>
      </c>
      <c r="H1620" s="8" t="s">
        <v>915</v>
      </c>
    </row>
    <row r="1621" customFormat="false" ht="15" hidden="false" customHeight="false" outlineLevel="0" collapsed="false">
      <c r="A1621" s="8" t="s">
        <v>5134</v>
      </c>
      <c r="B1621" s="8" t="s">
        <v>5135</v>
      </c>
      <c r="C1621" s="8" t="n">
        <v>2008</v>
      </c>
      <c r="D1621" s="8" t="s">
        <v>83</v>
      </c>
      <c r="E1621" s="8" t="s">
        <v>5136</v>
      </c>
      <c r="F1621" s="8" t="s">
        <v>782</v>
      </c>
      <c r="G1621" s="8" t="s">
        <v>801</v>
      </c>
      <c r="H1621" s="8" t="s">
        <v>915</v>
      </c>
    </row>
    <row r="1622" customFormat="false" ht="15" hidden="false" customHeight="false" outlineLevel="0" collapsed="false">
      <c r="A1622" s="8" t="s">
        <v>5137</v>
      </c>
      <c r="B1622" s="8" t="s">
        <v>5138</v>
      </c>
      <c r="C1622" s="8" t="n">
        <v>2006</v>
      </c>
      <c r="D1622" s="8" t="s">
        <v>58</v>
      </c>
      <c r="E1622" s="8" t="s">
        <v>5139</v>
      </c>
      <c r="F1622" s="8" t="s">
        <v>782</v>
      </c>
      <c r="G1622" s="8" t="s">
        <v>801</v>
      </c>
      <c r="H1622" s="8" t="s">
        <v>802</v>
      </c>
    </row>
    <row r="1623" customFormat="false" ht="15" hidden="false" customHeight="false" outlineLevel="0" collapsed="false">
      <c r="A1623" s="8" t="s">
        <v>5140</v>
      </c>
      <c r="B1623" s="8" t="s">
        <v>5141</v>
      </c>
      <c r="C1623" s="8" t="n">
        <v>2006</v>
      </c>
      <c r="D1623" s="8" t="s">
        <v>58</v>
      </c>
      <c r="E1623" s="8" t="s">
        <v>5142</v>
      </c>
      <c r="F1623" s="8" t="s">
        <v>782</v>
      </c>
      <c r="G1623" s="8" t="s">
        <v>801</v>
      </c>
      <c r="H1623" s="8" t="s">
        <v>915</v>
      </c>
    </row>
    <row r="1624" customFormat="false" ht="15" hidden="false" customHeight="false" outlineLevel="0" collapsed="false">
      <c r="A1624" s="8" t="s">
        <v>5143</v>
      </c>
      <c r="B1624" s="8" t="s">
        <v>5144</v>
      </c>
      <c r="C1624" s="8" t="n">
        <v>2008</v>
      </c>
      <c r="D1624" s="8" t="s">
        <v>58</v>
      </c>
      <c r="E1624" s="8" t="s">
        <v>5145</v>
      </c>
      <c r="F1624" s="8" t="s">
        <v>782</v>
      </c>
      <c r="G1624" s="8" t="s">
        <v>801</v>
      </c>
      <c r="H1624" s="8" t="s">
        <v>915</v>
      </c>
    </row>
    <row r="1625" customFormat="false" ht="15" hidden="false" customHeight="false" outlineLevel="0" collapsed="false">
      <c r="A1625" s="8" t="s">
        <v>5146</v>
      </c>
      <c r="B1625" s="8" t="s">
        <v>5147</v>
      </c>
      <c r="C1625" s="8" t="n">
        <v>2006</v>
      </c>
      <c r="D1625" s="8" t="s">
        <v>58</v>
      </c>
      <c r="E1625" s="8" t="s">
        <v>5148</v>
      </c>
      <c r="F1625" s="8" t="s">
        <v>782</v>
      </c>
      <c r="G1625" s="8" t="s">
        <v>801</v>
      </c>
      <c r="H1625" s="8" t="s">
        <v>915</v>
      </c>
    </row>
    <row r="1626" customFormat="false" ht="15" hidden="false" customHeight="false" outlineLevel="0" collapsed="false">
      <c r="A1626" s="8" t="s">
        <v>5149</v>
      </c>
      <c r="B1626" s="8" t="s">
        <v>5150</v>
      </c>
      <c r="C1626" s="8" t="n">
        <v>2008</v>
      </c>
      <c r="D1626" s="8" t="s">
        <v>58</v>
      </c>
      <c r="E1626" s="8" t="s">
        <v>5151</v>
      </c>
      <c r="F1626" s="8" t="s">
        <v>782</v>
      </c>
      <c r="G1626" s="8" t="s">
        <v>801</v>
      </c>
      <c r="H1626" s="8" t="s">
        <v>802</v>
      </c>
    </row>
    <row r="1627" customFormat="false" ht="15" hidden="false" customHeight="false" outlineLevel="0" collapsed="false">
      <c r="A1627" s="8" t="s">
        <v>5152</v>
      </c>
      <c r="B1627" s="8" t="s">
        <v>5153</v>
      </c>
      <c r="C1627" s="8" t="n">
        <v>2006</v>
      </c>
      <c r="D1627" s="8" t="s">
        <v>58</v>
      </c>
      <c r="E1627" s="8"/>
      <c r="F1627" s="8" t="s">
        <v>782</v>
      </c>
      <c r="G1627" s="8" t="s">
        <v>783</v>
      </c>
      <c r="H1627" s="8" t="s">
        <v>784</v>
      </c>
    </row>
    <row r="1628" customFormat="false" ht="15" hidden="false" customHeight="false" outlineLevel="0" collapsed="false">
      <c r="A1628" s="8" t="s">
        <v>5154</v>
      </c>
      <c r="B1628" s="8" t="s">
        <v>5155</v>
      </c>
      <c r="C1628" s="8" t="n">
        <v>2007</v>
      </c>
      <c r="D1628" s="8" t="s">
        <v>58</v>
      </c>
      <c r="E1628" s="8" t="s">
        <v>5156</v>
      </c>
      <c r="F1628" s="8" t="s">
        <v>782</v>
      </c>
      <c r="G1628" s="8" t="s">
        <v>783</v>
      </c>
      <c r="H1628" s="8" t="s">
        <v>784</v>
      </c>
    </row>
    <row r="1629" customFormat="false" ht="15" hidden="false" customHeight="false" outlineLevel="0" collapsed="false">
      <c r="A1629" s="8" t="s">
        <v>5157</v>
      </c>
      <c r="B1629" s="8" t="s">
        <v>5158</v>
      </c>
      <c r="C1629" s="8" t="n">
        <v>2008</v>
      </c>
      <c r="D1629" s="8" t="s">
        <v>58</v>
      </c>
      <c r="E1629" s="8" t="s">
        <v>5159</v>
      </c>
      <c r="F1629" s="8" t="s">
        <v>782</v>
      </c>
      <c r="G1629" s="8" t="s">
        <v>801</v>
      </c>
      <c r="H1629" s="8" t="s">
        <v>802</v>
      </c>
    </row>
    <row r="1630" customFormat="false" ht="15" hidden="false" customHeight="false" outlineLevel="0" collapsed="false">
      <c r="A1630" s="8" t="s">
        <v>5160</v>
      </c>
      <c r="B1630" s="8" t="s">
        <v>5161</v>
      </c>
      <c r="C1630" s="8" t="n">
        <v>2008</v>
      </c>
      <c r="D1630" s="8" t="s">
        <v>58</v>
      </c>
      <c r="E1630" s="8" t="s">
        <v>5162</v>
      </c>
      <c r="F1630" s="8" t="s">
        <v>782</v>
      </c>
      <c r="G1630" s="8" t="s">
        <v>783</v>
      </c>
      <c r="H1630" s="8" t="s">
        <v>784</v>
      </c>
    </row>
    <row r="1631" customFormat="false" ht="15" hidden="false" customHeight="false" outlineLevel="0" collapsed="false">
      <c r="A1631" s="8" t="s">
        <v>5163</v>
      </c>
      <c r="B1631" s="8" t="s">
        <v>5164</v>
      </c>
      <c r="C1631" s="8" t="n">
        <v>2008</v>
      </c>
      <c r="D1631" s="8" t="s">
        <v>58</v>
      </c>
      <c r="E1631" s="8" t="s">
        <v>5165</v>
      </c>
      <c r="F1631" s="8" t="s">
        <v>782</v>
      </c>
      <c r="G1631" s="8" t="s">
        <v>801</v>
      </c>
      <c r="H1631" s="8" t="s">
        <v>915</v>
      </c>
    </row>
    <row r="1632" customFormat="false" ht="15" hidden="false" customHeight="false" outlineLevel="0" collapsed="false">
      <c r="A1632" s="8" t="s">
        <v>5166</v>
      </c>
      <c r="B1632" s="8" t="s">
        <v>5167</v>
      </c>
      <c r="C1632" s="8" t="n">
        <v>2008</v>
      </c>
      <c r="D1632" s="8" t="s">
        <v>58</v>
      </c>
      <c r="E1632" s="8" t="s">
        <v>5168</v>
      </c>
      <c r="F1632" s="8" t="s">
        <v>782</v>
      </c>
      <c r="G1632" s="8" t="s">
        <v>801</v>
      </c>
      <c r="H1632" s="8" t="s">
        <v>915</v>
      </c>
    </row>
    <row r="1633" customFormat="false" ht="15" hidden="false" customHeight="false" outlineLevel="0" collapsed="false">
      <c r="A1633" s="8" t="s">
        <v>5169</v>
      </c>
      <c r="B1633" s="8" t="s">
        <v>5170</v>
      </c>
      <c r="C1633" s="8" t="n">
        <v>2007</v>
      </c>
      <c r="D1633" s="8" t="s">
        <v>58</v>
      </c>
      <c r="E1633" s="8" t="s">
        <v>5171</v>
      </c>
      <c r="F1633" s="8" t="s">
        <v>782</v>
      </c>
      <c r="G1633" s="8" t="s">
        <v>801</v>
      </c>
      <c r="H1633" s="8" t="s">
        <v>915</v>
      </c>
    </row>
    <row r="1634" customFormat="false" ht="15" hidden="false" customHeight="false" outlineLevel="0" collapsed="false">
      <c r="A1634" s="8" t="s">
        <v>5172</v>
      </c>
      <c r="B1634" s="8" t="s">
        <v>5173</v>
      </c>
      <c r="C1634" s="8" t="n">
        <v>2008</v>
      </c>
      <c r="D1634" s="8" t="s">
        <v>58</v>
      </c>
      <c r="E1634" s="8" t="s">
        <v>5174</v>
      </c>
      <c r="F1634" s="8" t="s">
        <v>782</v>
      </c>
      <c r="G1634" s="8" t="s">
        <v>801</v>
      </c>
      <c r="H1634" s="8" t="s">
        <v>915</v>
      </c>
    </row>
    <row r="1635" customFormat="false" ht="15" hidden="false" customHeight="false" outlineLevel="0" collapsed="false">
      <c r="A1635" s="8" t="s">
        <v>5175</v>
      </c>
      <c r="B1635" s="8" t="s">
        <v>5176</v>
      </c>
      <c r="C1635" s="8" t="n">
        <v>2006</v>
      </c>
      <c r="D1635" s="8" t="s">
        <v>58</v>
      </c>
      <c r="E1635" s="8" t="s">
        <v>5177</v>
      </c>
      <c r="F1635" s="8" t="s">
        <v>782</v>
      </c>
      <c r="G1635" s="8" t="s">
        <v>801</v>
      </c>
      <c r="H1635" s="8" t="s">
        <v>915</v>
      </c>
    </row>
    <row r="1636" customFormat="false" ht="15" hidden="false" customHeight="false" outlineLevel="0" collapsed="false">
      <c r="A1636" s="8" t="s">
        <v>5178</v>
      </c>
      <c r="B1636" s="8" t="s">
        <v>5179</v>
      </c>
      <c r="C1636" s="8" t="n">
        <v>2005</v>
      </c>
      <c r="D1636" s="8" t="s">
        <v>58</v>
      </c>
      <c r="E1636" s="8" t="s">
        <v>5180</v>
      </c>
      <c r="F1636" s="8" t="s">
        <v>782</v>
      </c>
      <c r="G1636" s="8" t="s">
        <v>783</v>
      </c>
      <c r="H1636" s="8" t="s">
        <v>784</v>
      </c>
    </row>
    <row r="1637" customFormat="false" ht="15" hidden="false" customHeight="false" outlineLevel="0" collapsed="false">
      <c r="A1637" s="8" t="s">
        <v>5181</v>
      </c>
      <c r="B1637" s="8" t="s">
        <v>5182</v>
      </c>
      <c r="C1637" s="8" t="n">
        <v>2007</v>
      </c>
      <c r="D1637" s="8" t="s">
        <v>58</v>
      </c>
      <c r="E1637" s="8" t="s">
        <v>5183</v>
      </c>
      <c r="F1637" s="8" t="s">
        <v>782</v>
      </c>
      <c r="G1637" s="8" t="s">
        <v>801</v>
      </c>
      <c r="H1637" s="8" t="s">
        <v>915</v>
      </c>
    </row>
    <row r="1638" customFormat="false" ht="15" hidden="false" customHeight="false" outlineLevel="0" collapsed="false">
      <c r="A1638" s="8" t="s">
        <v>5184</v>
      </c>
      <c r="B1638" s="8" t="s">
        <v>5185</v>
      </c>
      <c r="C1638" s="8" t="n">
        <v>2009</v>
      </c>
      <c r="D1638" s="8" t="s">
        <v>58</v>
      </c>
      <c r="E1638" s="8" t="s">
        <v>5186</v>
      </c>
      <c r="F1638" s="8" t="s">
        <v>782</v>
      </c>
      <c r="G1638" s="8" t="s">
        <v>801</v>
      </c>
      <c r="H1638" s="8" t="s">
        <v>915</v>
      </c>
    </row>
    <row r="1639" customFormat="false" ht="15" hidden="false" customHeight="false" outlineLevel="0" collapsed="false">
      <c r="A1639" s="8" t="s">
        <v>5187</v>
      </c>
      <c r="B1639" s="8" t="s">
        <v>5188</v>
      </c>
      <c r="C1639" s="8" t="n">
        <v>2008</v>
      </c>
      <c r="D1639" s="8" t="s">
        <v>58</v>
      </c>
      <c r="E1639" s="8" t="s">
        <v>5189</v>
      </c>
      <c r="F1639" s="8" t="s">
        <v>782</v>
      </c>
      <c r="G1639" s="8" t="s">
        <v>801</v>
      </c>
      <c r="H1639" s="8" t="s">
        <v>915</v>
      </c>
    </row>
    <row r="1640" customFormat="false" ht="15" hidden="false" customHeight="false" outlineLevel="0" collapsed="false">
      <c r="A1640" s="8" t="s">
        <v>5190</v>
      </c>
      <c r="B1640" s="8" t="s">
        <v>5191</v>
      </c>
      <c r="C1640" s="8" t="n">
        <v>2008</v>
      </c>
      <c r="D1640" s="8" t="s">
        <v>58</v>
      </c>
      <c r="E1640" s="8" t="s">
        <v>5192</v>
      </c>
      <c r="F1640" s="8" t="s">
        <v>782</v>
      </c>
      <c r="G1640" s="8" t="s">
        <v>801</v>
      </c>
      <c r="H1640" s="8" t="s">
        <v>915</v>
      </c>
    </row>
    <row r="1641" customFormat="false" ht="15" hidden="false" customHeight="false" outlineLevel="0" collapsed="false">
      <c r="A1641" s="8" t="s">
        <v>5193</v>
      </c>
      <c r="B1641" s="8" t="s">
        <v>5194</v>
      </c>
      <c r="C1641" s="8" t="n">
        <v>2008</v>
      </c>
      <c r="D1641" s="8" t="s">
        <v>58</v>
      </c>
      <c r="E1641" s="8" t="s">
        <v>5195</v>
      </c>
      <c r="F1641" s="8" t="s">
        <v>782</v>
      </c>
      <c r="G1641" s="8" t="s">
        <v>801</v>
      </c>
      <c r="H1641" s="8" t="s">
        <v>915</v>
      </c>
    </row>
    <row r="1642" customFormat="false" ht="15" hidden="false" customHeight="false" outlineLevel="0" collapsed="false">
      <c r="A1642" s="8" t="s">
        <v>5196</v>
      </c>
      <c r="B1642" s="8" t="s">
        <v>5197</v>
      </c>
      <c r="C1642" s="8" t="n">
        <v>2007</v>
      </c>
      <c r="D1642" s="8" t="s">
        <v>58</v>
      </c>
      <c r="E1642" s="8" t="s">
        <v>5198</v>
      </c>
      <c r="F1642" s="8" t="s">
        <v>782</v>
      </c>
      <c r="G1642" s="8" t="s">
        <v>801</v>
      </c>
      <c r="H1642" s="8" t="s">
        <v>915</v>
      </c>
    </row>
    <row r="1643" customFormat="false" ht="15" hidden="false" customHeight="false" outlineLevel="0" collapsed="false">
      <c r="A1643" s="8" t="s">
        <v>5199</v>
      </c>
      <c r="B1643" s="8" t="s">
        <v>5200</v>
      </c>
      <c r="C1643" s="8" t="n">
        <v>2009</v>
      </c>
      <c r="D1643" s="8" t="s">
        <v>58</v>
      </c>
      <c r="E1643" s="8"/>
      <c r="F1643" s="8" t="s">
        <v>782</v>
      </c>
      <c r="G1643" s="8" t="s">
        <v>783</v>
      </c>
      <c r="H1643" s="8" t="s">
        <v>784</v>
      </c>
    </row>
    <row r="1644" customFormat="false" ht="15" hidden="false" customHeight="false" outlineLevel="0" collapsed="false">
      <c r="A1644" s="8" t="s">
        <v>5201</v>
      </c>
      <c r="B1644" s="8" t="s">
        <v>5202</v>
      </c>
      <c r="C1644" s="8" t="n">
        <v>2005</v>
      </c>
      <c r="D1644" s="8" t="s">
        <v>58</v>
      </c>
      <c r="E1644" s="8" t="s">
        <v>5203</v>
      </c>
      <c r="F1644" s="8" t="s">
        <v>782</v>
      </c>
      <c r="G1644" s="8" t="s">
        <v>801</v>
      </c>
      <c r="H1644" s="8" t="s">
        <v>915</v>
      </c>
    </row>
    <row r="1645" customFormat="false" ht="15" hidden="false" customHeight="false" outlineLevel="0" collapsed="false">
      <c r="A1645" s="8" t="s">
        <v>5204</v>
      </c>
      <c r="B1645" s="8" t="s">
        <v>5205</v>
      </c>
      <c r="C1645" s="8" t="n">
        <v>2008</v>
      </c>
      <c r="D1645" s="8" t="s">
        <v>58</v>
      </c>
      <c r="E1645" s="8" t="s">
        <v>5206</v>
      </c>
      <c r="F1645" s="8" t="s">
        <v>782</v>
      </c>
      <c r="G1645" s="8" t="s">
        <v>801</v>
      </c>
      <c r="H1645" s="8" t="s">
        <v>915</v>
      </c>
    </row>
    <row r="1646" customFormat="false" ht="15" hidden="false" customHeight="false" outlineLevel="0" collapsed="false">
      <c r="A1646" s="8" t="s">
        <v>5207</v>
      </c>
      <c r="B1646" s="8" t="s">
        <v>5208</v>
      </c>
      <c r="C1646" s="8" t="n">
        <v>2008</v>
      </c>
      <c r="D1646" s="8" t="s">
        <v>58</v>
      </c>
      <c r="E1646" s="8" t="s">
        <v>5209</v>
      </c>
      <c r="F1646" s="8" t="s">
        <v>782</v>
      </c>
      <c r="G1646" s="8" t="s">
        <v>801</v>
      </c>
      <c r="H1646" s="8" t="s">
        <v>915</v>
      </c>
    </row>
    <row r="1647" customFormat="false" ht="15" hidden="false" customHeight="false" outlineLevel="0" collapsed="false">
      <c r="A1647" s="8" t="s">
        <v>5210</v>
      </c>
      <c r="B1647" s="8" t="s">
        <v>5211</v>
      </c>
      <c r="C1647" s="8" t="n">
        <v>2008</v>
      </c>
      <c r="D1647" s="8" t="s">
        <v>58</v>
      </c>
      <c r="E1647" s="8" t="s">
        <v>5212</v>
      </c>
      <c r="F1647" s="8" t="s">
        <v>782</v>
      </c>
      <c r="G1647" s="8" t="s">
        <v>783</v>
      </c>
      <c r="H1647" s="8" t="s">
        <v>784</v>
      </c>
    </row>
    <row r="1648" customFormat="false" ht="15" hidden="false" customHeight="false" outlineLevel="0" collapsed="false">
      <c r="A1648" s="8" t="s">
        <v>5213</v>
      </c>
      <c r="B1648" s="8" t="s">
        <v>5214</v>
      </c>
      <c r="C1648" s="8" t="n">
        <v>2006</v>
      </c>
      <c r="D1648" s="8" t="s">
        <v>58</v>
      </c>
      <c r="E1648" s="8" t="s">
        <v>5215</v>
      </c>
      <c r="F1648" s="8" t="s">
        <v>782</v>
      </c>
      <c r="G1648" s="8" t="s">
        <v>801</v>
      </c>
      <c r="H1648" s="8" t="s">
        <v>915</v>
      </c>
    </row>
    <row r="1649" customFormat="false" ht="15" hidden="false" customHeight="false" outlineLevel="0" collapsed="false">
      <c r="A1649" s="8" t="s">
        <v>5216</v>
      </c>
      <c r="B1649" s="8" t="s">
        <v>5217</v>
      </c>
      <c r="C1649" s="8" t="n">
        <v>2009</v>
      </c>
      <c r="D1649" s="8" t="s">
        <v>83</v>
      </c>
      <c r="E1649" s="8" t="s">
        <v>5218</v>
      </c>
      <c r="F1649" s="8" t="s">
        <v>782</v>
      </c>
      <c r="G1649" s="8" t="s">
        <v>801</v>
      </c>
      <c r="H1649" s="8" t="s">
        <v>802</v>
      </c>
    </row>
    <row r="1650" customFormat="false" ht="15" hidden="false" customHeight="false" outlineLevel="0" collapsed="false">
      <c r="A1650" s="8" t="s">
        <v>5219</v>
      </c>
      <c r="B1650" s="8" t="s">
        <v>5220</v>
      </c>
      <c r="C1650" s="8" t="n">
        <v>2007</v>
      </c>
      <c r="D1650" s="8" t="s">
        <v>58</v>
      </c>
      <c r="E1650" s="8" t="s">
        <v>5221</v>
      </c>
      <c r="F1650" s="8" t="s">
        <v>782</v>
      </c>
      <c r="G1650" s="8" t="s">
        <v>801</v>
      </c>
      <c r="H1650" s="8" t="s">
        <v>915</v>
      </c>
    </row>
    <row r="1651" customFormat="false" ht="15" hidden="false" customHeight="false" outlineLevel="0" collapsed="false">
      <c r="A1651" s="8" t="s">
        <v>5222</v>
      </c>
      <c r="B1651" s="8" t="s">
        <v>5223</v>
      </c>
      <c r="C1651" s="8" t="n">
        <v>2008</v>
      </c>
      <c r="D1651" s="8" t="s">
        <v>58</v>
      </c>
      <c r="E1651" s="8" t="s">
        <v>5224</v>
      </c>
      <c r="F1651" s="8" t="s">
        <v>782</v>
      </c>
      <c r="G1651" s="8" t="s">
        <v>801</v>
      </c>
      <c r="H1651" s="8" t="s">
        <v>915</v>
      </c>
    </row>
    <row r="1652" customFormat="false" ht="15" hidden="false" customHeight="false" outlineLevel="0" collapsed="false">
      <c r="A1652" s="8" t="s">
        <v>5225</v>
      </c>
      <c r="B1652" s="8" t="s">
        <v>5226</v>
      </c>
      <c r="C1652" s="8" t="n">
        <v>2004</v>
      </c>
      <c r="D1652" s="8" t="s">
        <v>83</v>
      </c>
      <c r="E1652" s="8" t="s">
        <v>5227</v>
      </c>
      <c r="F1652" s="8" t="s">
        <v>782</v>
      </c>
      <c r="G1652" s="8" t="s">
        <v>783</v>
      </c>
      <c r="H1652" s="8" t="s">
        <v>784</v>
      </c>
    </row>
    <row r="1653" customFormat="false" ht="15" hidden="false" customHeight="false" outlineLevel="0" collapsed="false">
      <c r="A1653" s="8" t="s">
        <v>5228</v>
      </c>
      <c r="B1653" s="8" t="s">
        <v>5229</v>
      </c>
      <c r="C1653" s="8" t="n">
        <v>2009</v>
      </c>
      <c r="D1653" s="8" t="s">
        <v>83</v>
      </c>
      <c r="E1653" s="8" t="s">
        <v>5230</v>
      </c>
      <c r="F1653" s="8" t="s">
        <v>782</v>
      </c>
      <c r="G1653" s="8" t="s">
        <v>801</v>
      </c>
      <c r="H1653" s="8" t="s">
        <v>915</v>
      </c>
    </row>
    <row r="1654" customFormat="false" ht="15" hidden="false" customHeight="false" outlineLevel="0" collapsed="false">
      <c r="A1654" s="8" t="s">
        <v>5231</v>
      </c>
      <c r="B1654" s="8" t="s">
        <v>5232</v>
      </c>
      <c r="C1654" s="8" t="n">
        <v>2009</v>
      </c>
      <c r="D1654" s="8" t="s">
        <v>58</v>
      </c>
      <c r="E1654" s="8" t="s">
        <v>5233</v>
      </c>
      <c r="F1654" s="8" t="s">
        <v>782</v>
      </c>
      <c r="G1654" s="8" t="s">
        <v>801</v>
      </c>
      <c r="H1654" s="8" t="s">
        <v>802</v>
      </c>
    </row>
    <row r="1655" customFormat="false" ht="15" hidden="false" customHeight="false" outlineLevel="0" collapsed="false">
      <c r="A1655" s="8" t="s">
        <v>5234</v>
      </c>
      <c r="B1655" s="8" t="s">
        <v>5235</v>
      </c>
      <c r="C1655" s="8" t="n">
        <v>2008</v>
      </c>
      <c r="D1655" s="8" t="s">
        <v>58</v>
      </c>
      <c r="E1655" s="8" t="s">
        <v>5236</v>
      </c>
      <c r="F1655" s="8" t="s">
        <v>782</v>
      </c>
      <c r="G1655" s="8" t="s">
        <v>801</v>
      </c>
      <c r="H1655" s="8" t="s">
        <v>915</v>
      </c>
    </row>
    <row r="1656" customFormat="false" ht="15" hidden="false" customHeight="false" outlineLevel="0" collapsed="false">
      <c r="A1656" s="8" t="s">
        <v>5237</v>
      </c>
      <c r="B1656" s="8" t="s">
        <v>5238</v>
      </c>
      <c r="C1656" s="8" t="n">
        <v>2009</v>
      </c>
      <c r="D1656" s="8" t="s">
        <v>83</v>
      </c>
      <c r="E1656" s="8" t="s">
        <v>5239</v>
      </c>
      <c r="F1656" s="8" t="s">
        <v>782</v>
      </c>
      <c r="G1656" s="8" t="s">
        <v>801</v>
      </c>
      <c r="H1656" s="8" t="s">
        <v>915</v>
      </c>
    </row>
    <row r="1657" customFormat="false" ht="15" hidden="false" customHeight="false" outlineLevel="0" collapsed="false">
      <c r="A1657" s="8" t="s">
        <v>5240</v>
      </c>
      <c r="B1657" s="8" t="s">
        <v>5241</v>
      </c>
      <c r="C1657" s="8" t="n">
        <v>2007</v>
      </c>
      <c r="D1657" s="8" t="s">
        <v>58</v>
      </c>
      <c r="E1657" s="8" t="s">
        <v>5242</v>
      </c>
      <c r="F1657" s="8" t="s">
        <v>782</v>
      </c>
      <c r="G1657" s="8" t="s">
        <v>801</v>
      </c>
      <c r="H1657" s="8" t="s">
        <v>915</v>
      </c>
    </row>
    <row r="1658" customFormat="false" ht="15" hidden="false" customHeight="false" outlineLevel="0" collapsed="false">
      <c r="A1658" s="8" t="s">
        <v>5243</v>
      </c>
      <c r="B1658" s="8" t="s">
        <v>5244</v>
      </c>
      <c r="C1658" s="8" t="n">
        <v>2007</v>
      </c>
      <c r="D1658" s="8" t="s">
        <v>58</v>
      </c>
      <c r="E1658" s="8" t="s">
        <v>5245</v>
      </c>
      <c r="F1658" s="8" t="s">
        <v>782</v>
      </c>
      <c r="G1658" s="8" t="s">
        <v>783</v>
      </c>
      <c r="H1658" s="8" t="s">
        <v>784</v>
      </c>
    </row>
    <row r="1659" customFormat="false" ht="15" hidden="false" customHeight="false" outlineLevel="0" collapsed="false">
      <c r="A1659" s="8" t="s">
        <v>5246</v>
      </c>
      <c r="B1659" s="8" t="s">
        <v>5247</v>
      </c>
      <c r="C1659" s="8" t="n">
        <v>2008</v>
      </c>
      <c r="D1659" s="8" t="s">
        <v>83</v>
      </c>
      <c r="E1659" s="8" t="s">
        <v>5248</v>
      </c>
      <c r="F1659" s="8" t="s">
        <v>782</v>
      </c>
      <c r="G1659" s="8" t="s">
        <v>801</v>
      </c>
      <c r="H1659" s="8" t="s">
        <v>915</v>
      </c>
    </row>
    <row r="1660" customFormat="false" ht="15" hidden="false" customHeight="false" outlineLevel="0" collapsed="false">
      <c r="A1660" s="8" t="s">
        <v>5249</v>
      </c>
      <c r="B1660" s="8" t="s">
        <v>5250</v>
      </c>
      <c r="C1660" s="8" t="n">
        <v>2008</v>
      </c>
      <c r="D1660" s="8" t="s">
        <v>83</v>
      </c>
      <c r="E1660" s="8" t="s">
        <v>5251</v>
      </c>
      <c r="F1660" s="8" t="s">
        <v>782</v>
      </c>
      <c r="G1660" s="8" t="s">
        <v>801</v>
      </c>
      <c r="H1660" s="8" t="s">
        <v>802</v>
      </c>
    </row>
    <row r="1661" customFormat="false" ht="15" hidden="false" customHeight="false" outlineLevel="0" collapsed="false">
      <c r="A1661" s="8" t="s">
        <v>5252</v>
      </c>
      <c r="B1661" s="8" t="s">
        <v>5253</v>
      </c>
      <c r="C1661" s="8" t="n">
        <v>2009</v>
      </c>
      <c r="D1661" s="8" t="s">
        <v>58</v>
      </c>
      <c r="E1661" s="8" t="s">
        <v>5254</v>
      </c>
      <c r="F1661" s="8" t="s">
        <v>782</v>
      </c>
      <c r="G1661" s="8" t="s">
        <v>801</v>
      </c>
      <c r="H1661" s="8" t="s">
        <v>915</v>
      </c>
    </row>
    <row r="1662" customFormat="false" ht="15" hidden="false" customHeight="false" outlineLevel="0" collapsed="false">
      <c r="A1662" s="8" t="s">
        <v>5255</v>
      </c>
      <c r="B1662" s="8" t="s">
        <v>5256</v>
      </c>
      <c r="C1662" s="8" t="n">
        <v>2009</v>
      </c>
      <c r="D1662" s="8" t="s">
        <v>58</v>
      </c>
      <c r="E1662" s="8" t="s">
        <v>5257</v>
      </c>
      <c r="F1662" s="8" t="s">
        <v>782</v>
      </c>
      <c r="G1662" s="8" t="s">
        <v>783</v>
      </c>
      <c r="H1662" s="8" t="s">
        <v>784</v>
      </c>
    </row>
    <row r="1663" customFormat="false" ht="15" hidden="false" customHeight="false" outlineLevel="0" collapsed="false">
      <c r="A1663" s="8" t="s">
        <v>5258</v>
      </c>
      <c r="B1663" s="8" t="s">
        <v>5259</v>
      </c>
      <c r="C1663" s="8" t="n">
        <v>2006</v>
      </c>
      <c r="D1663" s="8" t="s">
        <v>58</v>
      </c>
      <c r="E1663" s="8"/>
      <c r="F1663" s="8" t="s">
        <v>782</v>
      </c>
      <c r="G1663" s="8" t="s">
        <v>783</v>
      </c>
      <c r="H1663" s="8" t="s">
        <v>784</v>
      </c>
    </row>
    <row r="1664" customFormat="false" ht="15" hidden="false" customHeight="false" outlineLevel="0" collapsed="false">
      <c r="A1664" s="8" t="s">
        <v>5260</v>
      </c>
      <c r="B1664" s="8" t="s">
        <v>5261</v>
      </c>
      <c r="C1664" s="8" t="n">
        <v>2006</v>
      </c>
      <c r="D1664" s="8" t="s">
        <v>58</v>
      </c>
      <c r="E1664" s="8" t="s">
        <v>5262</v>
      </c>
      <c r="F1664" s="8" t="s">
        <v>782</v>
      </c>
      <c r="G1664" s="8" t="s">
        <v>783</v>
      </c>
      <c r="H1664" s="8" t="s">
        <v>784</v>
      </c>
    </row>
    <row r="1665" customFormat="false" ht="15" hidden="false" customHeight="false" outlineLevel="0" collapsed="false">
      <c r="A1665" s="8" t="s">
        <v>5263</v>
      </c>
      <c r="B1665" s="8" t="s">
        <v>5264</v>
      </c>
      <c r="C1665" s="8" t="n">
        <v>2008</v>
      </c>
      <c r="D1665" s="8" t="s">
        <v>58</v>
      </c>
      <c r="E1665" s="8"/>
      <c r="F1665" s="8" t="s">
        <v>782</v>
      </c>
      <c r="G1665" s="8" t="s">
        <v>783</v>
      </c>
      <c r="H1665" s="8" t="s">
        <v>784</v>
      </c>
    </row>
    <row r="1666" customFormat="false" ht="15" hidden="false" customHeight="false" outlineLevel="0" collapsed="false">
      <c r="A1666" s="8" t="s">
        <v>5265</v>
      </c>
      <c r="B1666" s="8" t="s">
        <v>5266</v>
      </c>
      <c r="C1666" s="8" t="n">
        <v>2007</v>
      </c>
      <c r="D1666" s="8" t="s">
        <v>58</v>
      </c>
      <c r="E1666" s="8" t="s">
        <v>5267</v>
      </c>
      <c r="F1666" s="8" t="s">
        <v>782</v>
      </c>
      <c r="G1666" s="8" t="s">
        <v>801</v>
      </c>
      <c r="H1666" s="8" t="s">
        <v>915</v>
      </c>
    </row>
    <row r="1667" customFormat="false" ht="15" hidden="false" customHeight="false" outlineLevel="0" collapsed="false">
      <c r="A1667" s="8" t="s">
        <v>5268</v>
      </c>
      <c r="B1667" s="8" t="s">
        <v>5269</v>
      </c>
      <c r="C1667" s="8" t="n">
        <v>2008</v>
      </c>
      <c r="D1667" s="8" t="s">
        <v>58</v>
      </c>
      <c r="E1667" s="8" t="s">
        <v>5270</v>
      </c>
      <c r="F1667" s="8" t="s">
        <v>782</v>
      </c>
      <c r="G1667" s="8" t="s">
        <v>801</v>
      </c>
      <c r="H1667" s="8" t="s">
        <v>915</v>
      </c>
    </row>
    <row r="1668" customFormat="false" ht="15" hidden="false" customHeight="false" outlineLevel="0" collapsed="false">
      <c r="A1668" s="8" t="s">
        <v>5271</v>
      </c>
      <c r="B1668" s="8" t="s">
        <v>5272</v>
      </c>
      <c r="C1668" s="8" t="n">
        <v>2006</v>
      </c>
      <c r="D1668" s="8" t="s">
        <v>83</v>
      </c>
      <c r="E1668" s="8" t="s">
        <v>5273</v>
      </c>
      <c r="F1668" s="8" t="s">
        <v>782</v>
      </c>
      <c r="G1668" s="8" t="s">
        <v>783</v>
      </c>
      <c r="H1668" s="8" t="s">
        <v>784</v>
      </c>
    </row>
    <row r="1669" customFormat="false" ht="15" hidden="false" customHeight="false" outlineLevel="0" collapsed="false">
      <c r="A1669" s="8" t="s">
        <v>5274</v>
      </c>
      <c r="B1669" s="8" t="s">
        <v>5275</v>
      </c>
      <c r="C1669" s="8" t="n">
        <v>2008</v>
      </c>
      <c r="D1669" s="8" t="s">
        <v>83</v>
      </c>
      <c r="E1669" s="8" t="s">
        <v>5276</v>
      </c>
      <c r="F1669" s="8" t="s">
        <v>782</v>
      </c>
      <c r="G1669" s="8" t="s">
        <v>801</v>
      </c>
      <c r="H1669" s="8" t="s">
        <v>915</v>
      </c>
    </row>
    <row r="1670" customFormat="false" ht="15" hidden="false" customHeight="false" outlineLevel="0" collapsed="false">
      <c r="A1670" s="8" t="s">
        <v>5277</v>
      </c>
      <c r="B1670" s="8" t="s">
        <v>5278</v>
      </c>
      <c r="C1670" s="8" t="n">
        <v>2008</v>
      </c>
      <c r="D1670" s="8" t="s">
        <v>58</v>
      </c>
      <c r="E1670" s="8" t="s">
        <v>5279</v>
      </c>
      <c r="F1670" s="8" t="s">
        <v>782</v>
      </c>
      <c r="G1670" s="8" t="s">
        <v>801</v>
      </c>
      <c r="H1670" s="8" t="s">
        <v>915</v>
      </c>
    </row>
    <row r="1671" customFormat="false" ht="15" hidden="false" customHeight="false" outlineLevel="0" collapsed="false">
      <c r="A1671" s="8" t="s">
        <v>5280</v>
      </c>
      <c r="B1671" s="8" t="s">
        <v>5281</v>
      </c>
      <c r="C1671" s="8" t="n">
        <v>2008</v>
      </c>
      <c r="D1671" s="8" t="s">
        <v>58</v>
      </c>
      <c r="E1671" s="8" t="s">
        <v>5282</v>
      </c>
      <c r="F1671" s="8" t="s">
        <v>782</v>
      </c>
      <c r="G1671" s="8" t="s">
        <v>801</v>
      </c>
      <c r="H1671" s="8" t="s">
        <v>915</v>
      </c>
    </row>
    <row r="1672" customFormat="false" ht="15" hidden="false" customHeight="false" outlineLevel="0" collapsed="false">
      <c r="A1672" s="8" t="s">
        <v>5283</v>
      </c>
      <c r="B1672" s="8" t="s">
        <v>5284</v>
      </c>
      <c r="C1672" s="8" t="n">
        <v>2008</v>
      </c>
      <c r="D1672" s="8" t="s">
        <v>58</v>
      </c>
      <c r="E1672" s="8" t="s">
        <v>5285</v>
      </c>
      <c r="F1672" s="8" t="s">
        <v>782</v>
      </c>
      <c r="G1672" s="8" t="s">
        <v>821</v>
      </c>
      <c r="H1672" s="8" t="s">
        <v>822</v>
      </c>
    </row>
    <row r="1673" customFormat="false" ht="15" hidden="false" customHeight="false" outlineLevel="0" collapsed="false">
      <c r="A1673" s="8" t="s">
        <v>5286</v>
      </c>
      <c r="B1673" s="8" t="s">
        <v>5287</v>
      </c>
      <c r="C1673" s="8" t="n">
        <v>2009</v>
      </c>
      <c r="D1673" s="8" t="s">
        <v>58</v>
      </c>
      <c r="E1673" s="8" t="s">
        <v>5288</v>
      </c>
      <c r="F1673" s="8" t="s">
        <v>782</v>
      </c>
      <c r="G1673" s="8" t="s">
        <v>783</v>
      </c>
      <c r="H1673" s="8" t="s">
        <v>784</v>
      </c>
    </row>
    <row r="1674" customFormat="false" ht="15" hidden="false" customHeight="false" outlineLevel="0" collapsed="false">
      <c r="A1674" s="8" t="s">
        <v>5289</v>
      </c>
      <c r="B1674" s="8" t="s">
        <v>5290</v>
      </c>
      <c r="C1674" s="8" t="n">
        <v>2008</v>
      </c>
      <c r="D1674" s="8" t="s">
        <v>58</v>
      </c>
      <c r="E1674" s="8"/>
      <c r="F1674" s="8" t="s">
        <v>782</v>
      </c>
      <c r="G1674" s="8" t="s">
        <v>783</v>
      </c>
      <c r="H1674" s="8" t="s">
        <v>861</v>
      </c>
    </row>
    <row r="1675" customFormat="false" ht="15" hidden="false" customHeight="false" outlineLevel="0" collapsed="false">
      <c r="A1675" s="8" t="s">
        <v>5291</v>
      </c>
      <c r="B1675" s="8" t="s">
        <v>5292</v>
      </c>
      <c r="C1675" s="8" t="n">
        <v>2007</v>
      </c>
      <c r="D1675" s="8" t="s">
        <v>58</v>
      </c>
      <c r="E1675" s="8" t="s">
        <v>5293</v>
      </c>
      <c r="F1675" s="8" t="s">
        <v>782</v>
      </c>
      <c r="G1675" s="8" t="s">
        <v>801</v>
      </c>
      <c r="H1675" s="8" t="s">
        <v>915</v>
      </c>
    </row>
    <row r="1676" customFormat="false" ht="15" hidden="false" customHeight="false" outlineLevel="0" collapsed="false">
      <c r="A1676" s="8" t="s">
        <v>5294</v>
      </c>
      <c r="B1676" s="8" t="s">
        <v>5295</v>
      </c>
      <c r="C1676" s="8" t="n">
        <v>2004</v>
      </c>
      <c r="D1676" s="8" t="s">
        <v>58</v>
      </c>
      <c r="E1676" s="8"/>
      <c r="F1676" s="8" t="s">
        <v>782</v>
      </c>
      <c r="G1676" s="8" t="s">
        <v>783</v>
      </c>
      <c r="H1676" s="8" t="s">
        <v>784</v>
      </c>
    </row>
    <row r="1677" customFormat="false" ht="15" hidden="false" customHeight="false" outlineLevel="0" collapsed="false">
      <c r="A1677" s="8" t="s">
        <v>5296</v>
      </c>
      <c r="B1677" s="8" t="s">
        <v>5297</v>
      </c>
      <c r="C1677" s="8" t="n">
        <v>2009</v>
      </c>
      <c r="D1677" s="8" t="s">
        <v>83</v>
      </c>
      <c r="E1677" s="8" t="s">
        <v>5298</v>
      </c>
      <c r="F1677" s="8" t="s">
        <v>782</v>
      </c>
      <c r="G1677" s="8" t="s">
        <v>783</v>
      </c>
      <c r="H1677" s="8" t="s">
        <v>861</v>
      </c>
    </row>
    <row r="1678" customFormat="false" ht="15" hidden="false" customHeight="false" outlineLevel="0" collapsed="false">
      <c r="A1678" s="8" t="s">
        <v>5299</v>
      </c>
      <c r="B1678" s="8" t="s">
        <v>5300</v>
      </c>
      <c r="C1678" s="8" t="n">
        <v>2008</v>
      </c>
      <c r="D1678" s="8" t="s">
        <v>83</v>
      </c>
      <c r="E1678" s="8" t="s">
        <v>5301</v>
      </c>
      <c r="F1678" s="8" t="s">
        <v>782</v>
      </c>
      <c r="G1678" s="8" t="s">
        <v>801</v>
      </c>
      <c r="H1678" s="8" t="s">
        <v>915</v>
      </c>
    </row>
    <row r="1679" customFormat="false" ht="15" hidden="false" customHeight="false" outlineLevel="0" collapsed="false">
      <c r="A1679" s="8" t="s">
        <v>5302</v>
      </c>
      <c r="B1679" s="8" t="s">
        <v>5303</v>
      </c>
      <c r="C1679" s="8" t="n">
        <v>2008</v>
      </c>
      <c r="D1679" s="8" t="s">
        <v>58</v>
      </c>
      <c r="E1679" s="8" t="s">
        <v>5304</v>
      </c>
      <c r="F1679" s="8" t="s">
        <v>782</v>
      </c>
      <c r="G1679" s="8" t="s">
        <v>801</v>
      </c>
      <c r="H1679" s="8" t="s">
        <v>802</v>
      </c>
    </row>
    <row r="1680" customFormat="false" ht="15" hidden="false" customHeight="false" outlineLevel="0" collapsed="false">
      <c r="A1680" s="8" t="s">
        <v>5305</v>
      </c>
      <c r="B1680" s="8" t="s">
        <v>5306</v>
      </c>
      <c r="C1680" s="8" t="n">
        <v>2008</v>
      </c>
      <c r="D1680" s="8" t="s">
        <v>58</v>
      </c>
      <c r="E1680" s="8"/>
      <c r="F1680" s="8" t="s">
        <v>782</v>
      </c>
      <c r="G1680" s="8" t="s">
        <v>783</v>
      </c>
      <c r="H1680" s="8" t="s">
        <v>784</v>
      </c>
    </row>
    <row r="1681" customFormat="false" ht="15" hidden="false" customHeight="false" outlineLevel="0" collapsed="false">
      <c r="A1681" s="8" t="s">
        <v>5307</v>
      </c>
      <c r="B1681" s="8" t="s">
        <v>5308</v>
      </c>
      <c r="C1681" s="8" t="n">
        <v>2007</v>
      </c>
      <c r="D1681" s="8" t="s">
        <v>58</v>
      </c>
      <c r="E1681" s="8" t="s">
        <v>5309</v>
      </c>
      <c r="F1681" s="8" t="s">
        <v>782</v>
      </c>
      <c r="G1681" s="8" t="s">
        <v>801</v>
      </c>
      <c r="H1681" s="8" t="s">
        <v>915</v>
      </c>
    </row>
    <row r="1682" customFormat="false" ht="15" hidden="false" customHeight="false" outlineLevel="0" collapsed="false">
      <c r="A1682" s="8" t="s">
        <v>5310</v>
      </c>
      <c r="B1682" s="8" t="s">
        <v>5311</v>
      </c>
      <c r="C1682" s="8" t="n">
        <v>2007</v>
      </c>
      <c r="D1682" s="8" t="s">
        <v>58</v>
      </c>
      <c r="E1682" s="8" t="s">
        <v>5312</v>
      </c>
      <c r="F1682" s="8" t="s">
        <v>782</v>
      </c>
      <c r="G1682" s="8" t="s">
        <v>783</v>
      </c>
      <c r="H1682" s="8" t="s">
        <v>784</v>
      </c>
    </row>
    <row r="1683" customFormat="false" ht="15" hidden="false" customHeight="false" outlineLevel="0" collapsed="false">
      <c r="A1683" s="8" t="s">
        <v>5313</v>
      </c>
      <c r="B1683" s="8" t="s">
        <v>5314</v>
      </c>
      <c r="C1683" s="8" t="n">
        <v>2007</v>
      </c>
      <c r="D1683" s="8" t="s">
        <v>58</v>
      </c>
      <c r="E1683" s="8" t="s">
        <v>5315</v>
      </c>
      <c r="F1683" s="8" t="s">
        <v>782</v>
      </c>
      <c r="G1683" s="8" t="s">
        <v>801</v>
      </c>
      <c r="H1683" s="8" t="s">
        <v>915</v>
      </c>
    </row>
    <row r="1684" customFormat="false" ht="15" hidden="false" customHeight="false" outlineLevel="0" collapsed="false">
      <c r="A1684" s="8" t="s">
        <v>5316</v>
      </c>
      <c r="B1684" s="8" t="s">
        <v>5317</v>
      </c>
      <c r="C1684" s="8" t="n">
        <v>2008</v>
      </c>
      <c r="D1684" s="8" t="s">
        <v>58</v>
      </c>
      <c r="E1684" s="8" t="s">
        <v>5318</v>
      </c>
      <c r="F1684" s="8" t="s">
        <v>782</v>
      </c>
      <c r="G1684" s="8" t="s">
        <v>783</v>
      </c>
      <c r="H1684" s="8" t="s">
        <v>784</v>
      </c>
    </row>
    <row r="1685" customFormat="false" ht="15" hidden="false" customHeight="false" outlineLevel="0" collapsed="false">
      <c r="A1685" s="8" t="s">
        <v>5319</v>
      </c>
      <c r="B1685" s="8" t="s">
        <v>5320</v>
      </c>
      <c r="C1685" s="8" t="n">
        <v>2007</v>
      </c>
      <c r="D1685" s="8" t="s">
        <v>58</v>
      </c>
      <c r="E1685" s="8" t="s">
        <v>5321</v>
      </c>
      <c r="F1685" s="8" t="s">
        <v>782</v>
      </c>
      <c r="G1685" s="8" t="s">
        <v>801</v>
      </c>
      <c r="H1685" s="8" t="s">
        <v>915</v>
      </c>
    </row>
    <row r="1686" customFormat="false" ht="15" hidden="false" customHeight="false" outlineLevel="0" collapsed="false">
      <c r="A1686" s="8" t="s">
        <v>5322</v>
      </c>
      <c r="B1686" s="8" t="s">
        <v>5323</v>
      </c>
      <c r="C1686" s="8" t="n">
        <v>2007</v>
      </c>
      <c r="D1686" s="8" t="s">
        <v>58</v>
      </c>
      <c r="E1686" s="8" t="s">
        <v>5324</v>
      </c>
      <c r="F1686" s="8" t="s">
        <v>782</v>
      </c>
      <c r="G1686" s="8" t="s">
        <v>801</v>
      </c>
      <c r="H1686" s="8" t="s">
        <v>915</v>
      </c>
    </row>
    <row r="1687" customFormat="false" ht="15" hidden="false" customHeight="false" outlineLevel="0" collapsed="false">
      <c r="A1687" s="8" t="s">
        <v>5325</v>
      </c>
      <c r="B1687" s="8" t="s">
        <v>5326</v>
      </c>
      <c r="C1687" s="8" t="n">
        <v>2009</v>
      </c>
      <c r="D1687" s="8" t="s">
        <v>58</v>
      </c>
      <c r="E1687" s="8" t="s">
        <v>5327</v>
      </c>
      <c r="F1687" s="8" t="s">
        <v>782</v>
      </c>
      <c r="G1687" s="8" t="s">
        <v>801</v>
      </c>
      <c r="H1687" s="8" t="s">
        <v>802</v>
      </c>
    </row>
    <row r="1688" customFormat="false" ht="15" hidden="false" customHeight="false" outlineLevel="0" collapsed="false">
      <c r="A1688" s="8" t="s">
        <v>5328</v>
      </c>
      <c r="B1688" s="8" t="s">
        <v>5329</v>
      </c>
      <c r="C1688" s="8" t="n">
        <v>2007</v>
      </c>
      <c r="D1688" s="8" t="s">
        <v>58</v>
      </c>
      <c r="E1688" s="8" t="s">
        <v>5330</v>
      </c>
      <c r="F1688" s="8" t="s">
        <v>782</v>
      </c>
      <c r="G1688" s="8" t="s">
        <v>801</v>
      </c>
      <c r="H1688" s="8" t="s">
        <v>915</v>
      </c>
    </row>
    <row r="1689" customFormat="false" ht="15" hidden="false" customHeight="false" outlineLevel="0" collapsed="false">
      <c r="A1689" s="8" t="s">
        <v>5331</v>
      </c>
      <c r="B1689" s="8" t="s">
        <v>5332</v>
      </c>
      <c r="C1689" s="8" t="n">
        <v>2005</v>
      </c>
      <c r="D1689" s="8" t="s">
        <v>58</v>
      </c>
      <c r="E1689" s="8" t="s">
        <v>5333</v>
      </c>
      <c r="F1689" s="8" t="s">
        <v>782</v>
      </c>
      <c r="G1689" s="8" t="s">
        <v>783</v>
      </c>
      <c r="H1689" s="8" t="s">
        <v>784</v>
      </c>
    </row>
    <row r="1690" customFormat="false" ht="15" hidden="false" customHeight="false" outlineLevel="0" collapsed="false">
      <c r="A1690" s="8" t="s">
        <v>5334</v>
      </c>
      <c r="B1690" s="8" t="s">
        <v>5335</v>
      </c>
      <c r="C1690" s="8" t="n">
        <v>2007</v>
      </c>
      <c r="D1690" s="8" t="s">
        <v>58</v>
      </c>
      <c r="E1690" s="8" t="s">
        <v>5336</v>
      </c>
      <c r="F1690" s="8" t="s">
        <v>782</v>
      </c>
      <c r="G1690" s="8" t="s">
        <v>801</v>
      </c>
      <c r="H1690" s="8" t="s">
        <v>915</v>
      </c>
    </row>
    <row r="1691" customFormat="false" ht="15" hidden="false" customHeight="false" outlineLevel="0" collapsed="false">
      <c r="A1691" s="8" t="s">
        <v>5337</v>
      </c>
      <c r="B1691" s="8" t="s">
        <v>5338</v>
      </c>
      <c r="C1691" s="8" t="n">
        <v>2008</v>
      </c>
      <c r="D1691" s="8" t="s">
        <v>58</v>
      </c>
      <c r="E1691" s="8" t="s">
        <v>5339</v>
      </c>
      <c r="F1691" s="8" t="s">
        <v>782</v>
      </c>
      <c r="G1691" s="8" t="s">
        <v>801</v>
      </c>
      <c r="H1691" s="8" t="s">
        <v>915</v>
      </c>
    </row>
    <row r="1692" customFormat="false" ht="15" hidden="false" customHeight="false" outlineLevel="0" collapsed="false">
      <c r="A1692" s="8" t="s">
        <v>5340</v>
      </c>
      <c r="B1692" s="8" t="s">
        <v>5341</v>
      </c>
      <c r="C1692" s="8" t="n">
        <v>2008</v>
      </c>
      <c r="D1692" s="8" t="s">
        <v>58</v>
      </c>
      <c r="E1692" s="8" t="s">
        <v>5342</v>
      </c>
      <c r="F1692" s="8" t="s">
        <v>782</v>
      </c>
      <c r="G1692" s="8" t="s">
        <v>783</v>
      </c>
      <c r="H1692" s="8" t="s">
        <v>784</v>
      </c>
    </row>
    <row r="1693" customFormat="false" ht="15" hidden="false" customHeight="false" outlineLevel="0" collapsed="false">
      <c r="A1693" s="8" t="s">
        <v>5343</v>
      </c>
      <c r="B1693" s="8" t="s">
        <v>5344</v>
      </c>
      <c r="C1693" s="8" t="n">
        <v>2006</v>
      </c>
      <c r="D1693" s="8" t="s">
        <v>58</v>
      </c>
      <c r="E1693" s="8" t="s">
        <v>5345</v>
      </c>
      <c r="F1693" s="8" t="s">
        <v>782</v>
      </c>
      <c r="G1693" s="8" t="s">
        <v>801</v>
      </c>
      <c r="H1693" s="8" t="s">
        <v>915</v>
      </c>
    </row>
    <row r="1694" customFormat="false" ht="15" hidden="false" customHeight="false" outlineLevel="0" collapsed="false">
      <c r="A1694" s="8" t="s">
        <v>5346</v>
      </c>
      <c r="B1694" s="8" t="s">
        <v>5347</v>
      </c>
      <c r="C1694" s="8" t="n">
        <v>2009</v>
      </c>
      <c r="D1694" s="8" t="s">
        <v>58</v>
      </c>
      <c r="E1694" s="8" t="s">
        <v>5348</v>
      </c>
      <c r="F1694" s="8" t="s">
        <v>782</v>
      </c>
      <c r="G1694" s="8" t="s">
        <v>801</v>
      </c>
      <c r="H1694" s="8" t="s">
        <v>915</v>
      </c>
    </row>
    <row r="1695" customFormat="false" ht="15" hidden="false" customHeight="false" outlineLevel="0" collapsed="false">
      <c r="A1695" s="8" t="s">
        <v>5349</v>
      </c>
      <c r="B1695" s="8" t="s">
        <v>5350</v>
      </c>
      <c r="C1695" s="8" t="n">
        <v>2008</v>
      </c>
      <c r="D1695" s="8" t="s">
        <v>83</v>
      </c>
      <c r="E1695" s="8" t="s">
        <v>5351</v>
      </c>
      <c r="F1695" s="8" t="s">
        <v>782</v>
      </c>
      <c r="G1695" s="8" t="s">
        <v>801</v>
      </c>
      <c r="H1695" s="8" t="s">
        <v>915</v>
      </c>
    </row>
    <row r="1696" customFormat="false" ht="15" hidden="false" customHeight="false" outlineLevel="0" collapsed="false">
      <c r="A1696" s="8" t="s">
        <v>5352</v>
      </c>
      <c r="B1696" s="8" t="s">
        <v>5353</v>
      </c>
      <c r="C1696" s="8" t="n">
        <v>2007</v>
      </c>
      <c r="D1696" s="8" t="s">
        <v>58</v>
      </c>
      <c r="E1696" s="8" t="s">
        <v>5354</v>
      </c>
      <c r="F1696" s="8" t="s">
        <v>782</v>
      </c>
      <c r="G1696" s="8" t="s">
        <v>801</v>
      </c>
      <c r="H1696" s="8" t="s">
        <v>915</v>
      </c>
    </row>
    <row r="1697" customFormat="false" ht="15" hidden="false" customHeight="false" outlineLevel="0" collapsed="false">
      <c r="A1697" s="8" t="s">
        <v>5355</v>
      </c>
      <c r="B1697" s="8" t="s">
        <v>5356</v>
      </c>
      <c r="C1697" s="8" t="n">
        <v>2007</v>
      </c>
      <c r="D1697" s="8" t="s">
        <v>58</v>
      </c>
      <c r="E1697" s="8" t="s">
        <v>5357</v>
      </c>
      <c r="F1697" s="8" t="s">
        <v>782</v>
      </c>
      <c r="G1697" s="8" t="s">
        <v>783</v>
      </c>
      <c r="H1697" s="8" t="s">
        <v>784</v>
      </c>
    </row>
    <row r="1698" customFormat="false" ht="15" hidden="false" customHeight="false" outlineLevel="0" collapsed="false">
      <c r="A1698" s="8" t="s">
        <v>5358</v>
      </c>
      <c r="B1698" s="8" t="s">
        <v>5359</v>
      </c>
      <c r="C1698" s="8" t="n">
        <v>2009</v>
      </c>
      <c r="D1698" s="8" t="s">
        <v>58</v>
      </c>
      <c r="E1698" s="8" t="s">
        <v>5360</v>
      </c>
      <c r="F1698" s="8" t="s">
        <v>782</v>
      </c>
      <c r="G1698" s="8" t="s">
        <v>801</v>
      </c>
      <c r="H1698" s="8" t="s">
        <v>915</v>
      </c>
    </row>
    <row r="1699" customFormat="false" ht="15" hidden="false" customHeight="false" outlineLevel="0" collapsed="false">
      <c r="A1699" s="8" t="s">
        <v>5361</v>
      </c>
      <c r="B1699" s="8" t="s">
        <v>5362</v>
      </c>
      <c r="C1699" s="8" t="n">
        <v>2009</v>
      </c>
      <c r="D1699" s="8" t="s">
        <v>58</v>
      </c>
      <c r="E1699" s="8" t="s">
        <v>5363</v>
      </c>
      <c r="F1699" s="8" t="s">
        <v>782</v>
      </c>
      <c r="G1699" s="8" t="s">
        <v>783</v>
      </c>
      <c r="H1699" s="8" t="s">
        <v>784</v>
      </c>
    </row>
    <row r="1700" customFormat="false" ht="15" hidden="false" customHeight="false" outlineLevel="0" collapsed="false">
      <c r="A1700" s="8" t="s">
        <v>5364</v>
      </c>
      <c r="B1700" s="8" t="s">
        <v>5365</v>
      </c>
      <c r="C1700" s="8" t="n">
        <v>2009</v>
      </c>
      <c r="D1700" s="8" t="s">
        <v>58</v>
      </c>
      <c r="E1700" s="8" t="s">
        <v>5366</v>
      </c>
      <c r="F1700" s="8" t="s">
        <v>782</v>
      </c>
      <c r="G1700" s="8" t="s">
        <v>801</v>
      </c>
      <c r="H1700" s="8" t="s">
        <v>915</v>
      </c>
    </row>
    <row r="1701" customFormat="false" ht="15" hidden="false" customHeight="false" outlineLevel="0" collapsed="false">
      <c r="A1701" s="8" t="s">
        <v>5367</v>
      </c>
      <c r="B1701" s="8" t="s">
        <v>5368</v>
      </c>
      <c r="C1701" s="8" t="n">
        <v>2008</v>
      </c>
      <c r="D1701" s="8" t="s">
        <v>58</v>
      </c>
      <c r="E1701" s="8"/>
      <c r="F1701" s="8" t="s">
        <v>782</v>
      </c>
      <c r="G1701" s="8" t="s">
        <v>801</v>
      </c>
      <c r="H1701" s="8" t="s">
        <v>915</v>
      </c>
    </row>
    <row r="1702" customFormat="false" ht="15" hidden="false" customHeight="false" outlineLevel="0" collapsed="false">
      <c r="A1702" s="8" t="s">
        <v>5369</v>
      </c>
      <c r="B1702" s="8" t="s">
        <v>5370</v>
      </c>
      <c r="C1702" s="8" t="n">
        <v>2008</v>
      </c>
      <c r="D1702" s="8" t="s">
        <v>58</v>
      </c>
      <c r="E1702" s="8" t="s">
        <v>5371</v>
      </c>
      <c r="F1702" s="8" t="s">
        <v>782</v>
      </c>
      <c r="G1702" s="8" t="s">
        <v>801</v>
      </c>
      <c r="H1702" s="8" t="s">
        <v>915</v>
      </c>
    </row>
    <row r="1703" customFormat="false" ht="15" hidden="false" customHeight="false" outlineLevel="0" collapsed="false">
      <c r="A1703" s="8" t="s">
        <v>5372</v>
      </c>
      <c r="B1703" s="8" t="s">
        <v>5373</v>
      </c>
      <c r="C1703" s="8" t="n">
        <v>2008</v>
      </c>
      <c r="D1703" s="8" t="s">
        <v>58</v>
      </c>
      <c r="E1703" s="8" t="s">
        <v>5374</v>
      </c>
      <c r="F1703" s="8" t="s">
        <v>782</v>
      </c>
      <c r="G1703" s="8" t="s">
        <v>801</v>
      </c>
      <c r="H1703" s="8" t="s">
        <v>915</v>
      </c>
    </row>
    <row r="1704" customFormat="false" ht="15" hidden="false" customHeight="false" outlineLevel="0" collapsed="false">
      <c r="A1704" s="8" t="s">
        <v>5375</v>
      </c>
      <c r="B1704" s="8" t="s">
        <v>5376</v>
      </c>
      <c r="C1704" s="8" t="n">
        <v>2009</v>
      </c>
      <c r="D1704" s="8" t="s">
        <v>58</v>
      </c>
      <c r="E1704" s="8"/>
      <c r="F1704" s="8" t="s">
        <v>782</v>
      </c>
      <c r="G1704" s="8" t="s">
        <v>783</v>
      </c>
      <c r="H1704" s="8" t="s">
        <v>784</v>
      </c>
    </row>
    <row r="1705" customFormat="false" ht="15" hidden="false" customHeight="false" outlineLevel="0" collapsed="false">
      <c r="A1705" s="8" t="s">
        <v>5377</v>
      </c>
      <c r="B1705" s="8" t="s">
        <v>5378</v>
      </c>
      <c r="C1705" s="8" t="n">
        <v>2009</v>
      </c>
      <c r="D1705" s="8" t="s">
        <v>58</v>
      </c>
      <c r="E1705" s="8" t="s">
        <v>5379</v>
      </c>
      <c r="F1705" s="8" t="s">
        <v>782</v>
      </c>
      <c r="G1705" s="8" t="s">
        <v>801</v>
      </c>
      <c r="H1705" s="8" t="s">
        <v>915</v>
      </c>
    </row>
    <row r="1706" customFormat="false" ht="15" hidden="false" customHeight="false" outlineLevel="0" collapsed="false">
      <c r="A1706" s="8" t="s">
        <v>5380</v>
      </c>
      <c r="B1706" s="8" t="s">
        <v>5381</v>
      </c>
      <c r="C1706" s="8" t="n">
        <v>2006</v>
      </c>
      <c r="D1706" s="8" t="s">
        <v>58</v>
      </c>
      <c r="E1706" s="8" t="s">
        <v>5382</v>
      </c>
      <c r="F1706" s="8" t="s">
        <v>782</v>
      </c>
      <c r="G1706" s="8" t="s">
        <v>801</v>
      </c>
      <c r="H1706" s="8" t="s">
        <v>915</v>
      </c>
    </row>
    <row r="1707" customFormat="false" ht="15" hidden="false" customHeight="false" outlineLevel="0" collapsed="false">
      <c r="A1707" s="8" t="s">
        <v>5383</v>
      </c>
      <c r="B1707" s="8" t="s">
        <v>5384</v>
      </c>
      <c r="C1707" s="8" t="n">
        <v>2006</v>
      </c>
      <c r="D1707" s="8" t="s">
        <v>58</v>
      </c>
      <c r="E1707" s="8" t="s">
        <v>5385</v>
      </c>
      <c r="F1707" s="8" t="s">
        <v>782</v>
      </c>
      <c r="G1707" s="8" t="s">
        <v>801</v>
      </c>
      <c r="H1707" s="8" t="s">
        <v>915</v>
      </c>
    </row>
    <row r="1708" customFormat="false" ht="15" hidden="false" customHeight="false" outlineLevel="0" collapsed="false">
      <c r="A1708" s="8" t="s">
        <v>5386</v>
      </c>
      <c r="B1708" s="8" t="s">
        <v>5387</v>
      </c>
      <c r="C1708" s="8" t="n">
        <v>2008</v>
      </c>
      <c r="D1708" s="8" t="s">
        <v>90</v>
      </c>
      <c r="E1708" s="8" t="s">
        <v>5388</v>
      </c>
      <c r="F1708" s="8" t="s">
        <v>782</v>
      </c>
      <c r="G1708" s="8" t="s">
        <v>801</v>
      </c>
      <c r="H1708" s="8" t="s">
        <v>915</v>
      </c>
    </row>
    <row r="1709" customFormat="false" ht="15" hidden="false" customHeight="false" outlineLevel="0" collapsed="false">
      <c r="A1709" s="8" t="s">
        <v>5389</v>
      </c>
      <c r="B1709" s="8" t="s">
        <v>5390</v>
      </c>
      <c r="C1709" s="8" t="n">
        <v>2008</v>
      </c>
      <c r="D1709" s="8" t="s">
        <v>58</v>
      </c>
      <c r="E1709" s="8" t="s">
        <v>5391</v>
      </c>
      <c r="F1709" s="8" t="s">
        <v>782</v>
      </c>
      <c r="G1709" s="8" t="s">
        <v>783</v>
      </c>
      <c r="H1709" s="8" t="s">
        <v>861</v>
      </c>
    </row>
    <row r="1710" customFormat="false" ht="15" hidden="false" customHeight="false" outlineLevel="0" collapsed="false">
      <c r="A1710" s="8" t="s">
        <v>5392</v>
      </c>
      <c r="B1710" s="8" t="s">
        <v>5393</v>
      </c>
      <c r="C1710" s="8" t="n">
        <v>2009</v>
      </c>
      <c r="D1710" s="8" t="s">
        <v>58</v>
      </c>
      <c r="E1710" s="8" t="s">
        <v>5394</v>
      </c>
      <c r="F1710" s="8" t="s">
        <v>782</v>
      </c>
      <c r="G1710" s="8" t="s">
        <v>783</v>
      </c>
      <c r="H1710" s="8" t="s">
        <v>784</v>
      </c>
    </row>
    <row r="1711" customFormat="false" ht="15" hidden="false" customHeight="false" outlineLevel="0" collapsed="false">
      <c r="A1711" s="8" t="s">
        <v>5395</v>
      </c>
      <c r="B1711" s="8" t="s">
        <v>5396</v>
      </c>
      <c r="C1711" s="8" t="n">
        <v>2007</v>
      </c>
      <c r="D1711" s="8" t="s">
        <v>58</v>
      </c>
      <c r="E1711" s="8" t="s">
        <v>5397</v>
      </c>
      <c r="F1711" s="8" t="s">
        <v>782</v>
      </c>
      <c r="G1711" s="8" t="s">
        <v>801</v>
      </c>
      <c r="H1711" s="8" t="s">
        <v>915</v>
      </c>
    </row>
    <row r="1712" customFormat="false" ht="15" hidden="false" customHeight="false" outlineLevel="0" collapsed="false">
      <c r="A1712" s="8" t="s">
        <v>5398</v>
      </c>
      <c r="B1712" s="8" t="s">
        <v>5399</v>
      </c>
      <c r="C1712" s="8" t="n">
        <v>2008</v>
      </c>
      <c r="D1712" s="8" t="s">
        <v>58</v>
      </c>
      <c r="E1712" s="8" t="s">
        <v>5400</v>
      </c>
      <c r="F1712" s="8" t="s">
        <v>782</v>
      </c>
      <c r="G1712" s="8" t="s">
        <v>783</v>
      </c>
      <c r="H1712" s="8" t="s">
        <v>784</v>
      </c>
    </row>
    <row r="1713" customFormat="false" ht="15" hidden="false" customHeight="false" outlineLevel="0" collapsed="false">
      <c r="A1713" s="8" t="s">
        <v>5401</v>
      </c>
      <c r="B1713" s="8" t="s">
        <v>5402</v>
      </c>
      <c r="C1713" s="8" t="n">
        <v>2007</v>
      </c>
      <c r="D1713" s="8" t="s">
        <v>58</v>
      </c>
      <c r="E1713" s="8" t="s">
        <v>5403</v>
      </c>
      <c r="F1713" s="8" t="s">
        <v>782</v>
      </c>
      <c r="G1713" s="8" t="s">
        <v>801</v>
      </c>
      <c r="H1713" s="8" t="s">
        <v>915</v>
      </c>
    </row>
    <row r="1714" customFormat="false" ht="15" hidden="false" customHeight="false" outlineLevel="0" collapsed="false">
      <c r="A1714" s="8" t="s">
        <v>5404</v>
      </c>
      <c r="B1714" s="8" t="s">
        <v>5405</v>
      </c>
      <c r="C1714" s="8" t="n">
        <v>2008</v>
      </c>
      <c r="D1714" s="8" t="s">
        <v>58</v>
      </c>
      <c r="E1714" s="8" t="s">
        <v>5406</v>
      </c>
      <c r="F1714" s="8" t="s">
        <v>782</v>
      </c>
      <c r="G1714" s="8" t="s">
        <v>801</v>
      </c>
      <c r="H1714" s="8" t="s">
        <v>915</v>
      </c>
    </row>
    <row r="1715" customFormat="false" ht="15" hidden="false" customHeight="false" outlineLevel="0" collapsed="false">
      <c r="A1715" s="8" t="s">
        <v>5407</v>
      </c>
      <c r="B1715" s="8" t="s">
        <v>5408</v>
      </c>
      <c r="C1715" s="8" t="n">
        <v>2007</v>
      </c>
      <c r="D1715" s="8" t="s">
        <v>58</v>
      </c>
      <c r="E1715" s="8" t="s">
        <v>5409</v>
      </c>
      <c r="F1715" s="8" t="s">
        <v>782</v>
      </c>
      <c r="G1715" s="8" t="s">
        <v>783</v>
      </c>
      <c r="H1715" s="8" t="s">
        <v>784</v>
      </c>
    </row>
    <row r="1716" customFormat="false" ht="15" hidden="false" customHeight="false" outlineLevel="0" collapsed="false">
      <c r="A1716" s="8" t="s">
        <v>5410</v>
      </c>
      <c r="B1716" s="8" t="s">
        <v>5411</v>
      </c>
      <c r="C1716" s="8" t="n">
        <v>2007</v>
      </c>
      <c r="D1716" s="8" t="s">
        <v>58</v>
      </c>
      <c r="E1716" s="8"/>
      <c r="F1716" s="8" t="s">
        <v>782</v>
      </c>
      <c r="G1716" s="8" t="s">
        <v>801</v>
      </c>
      <c r="H1716" s="8" t="s">
        <v>915</v>
      </c>
    </row>
    <row r="1717" customFormat="false" ht="15" hidden="false" customHeight="false" outlineLevel="0" collapsed="false">
      <c r="A1717" s="8" t="s">
        <v>5412</v>
      </c>
      <c r="B1717" s="8" t="s">
        <v>5413</v>
      </c>
      <c r="C1717" s="8" t="n">
        <v>2006</v>
      </c>
      <c r="D1717" s="8" t="s">
        <v>58</v>
      </c>
      <c r="E1717" s="8"/>
      <c r="F1717" s="8" t="s">
        <v>782</v>
      </c>
      <c r="G1717" s="8" t="s">
        <v>783</v>
      </c>
      <c r="H1717" s="8" t="s">
        <v>784</v>
      </c>
    </row>
    <row r="1718" customFormat="false" ht="15" hidden="false" customHeight="false" outlineLevel="0" collapsed="false">
      <c r="A1718" s="8" t="s">
        <v>5414</v>
      </c>
      <c r="B1718" s="8" t="s">
        <v>5415</v>
      </c>
      <c r="C1718" s="8" t="n">
        <v>2008</v>
      </c>
      <c r="D1718" s="8" t="s">
        <v>83</v>
      </c>
      <c r="E1718" s="8" t="s">
        <v>5416</v>
      </c>
      <c r="F1718" s="8" t="s">
        <v>782</v>
      </c>
      <c r="G1718" s="8" t="s">
        <v>801</v>
      </c>
      <c r="H1718" s="8" t="s">
        <v>915</v>
      </c>
    </row>
    <row r="1719" customFormat="false" ht="15" hidden="false" customHeight="false" outlineLevel="0" collapsed="false">
      <c r="A1719" s="8" t="s">
        <v>5417</v>
      </c>
      <c r="B1719" s="8" t="s">
        <v>5418</v>
      </c>
      <c r="C1719" s="8" t="n">
        <v>2007</v>
      </c>
      <c r="D1719" s="8" t="s">
        <v>58</v>
      </c>
      <c r="E1719" s="8" t="s">
        <v>5419</v>
      </c>
      <c r="F1719" s="8" t="s">
        <v>782</v>
      </c>
      <c r="G1719" s="8" t="s">
        <v>783</v>
      </c>
      <c r="H1719" s="8" t="s">
        <v>784</v>
      </c>
    </row>
    <row r="1720" customFormat="false" ht="15" hidden="false" customHeight="false" outlineLevel="0" collapsed="false">
      <c r="A1720" s="8" t="s">
        <v>5420</v>
      </c>
      <c r="B1720" s="8" t="s">
        <v>5421</v>
      </c>
      <c r="C1720" s="8" t="n">
        <v>2007</v>
      </c>
      <c r="D1720" s="8" t="s">
        <v>58</v>
      </c>
      <c r="E1720" s="8" t="s">
        <v>5422</v>
      </c>
      <c r="F1720" s="8" t="s">
        <v>782</v>
      </c>
      <c r="G1720" s="8" t="s">
        <v>801</v>
      </c>
      <c r="H1720" s="8" t="s">
        <v>915</v>
      </c>
    </row>
    <row r="1721" customFormat="false" ht="15" hidden="false" customHeight="false" outlineLevel="0" collapsed="false">
      <c r="A1721" s="8" t="s">
        <v>5423</v>
      </c>
      <c r="B1721" s="8" t="s">
        <v>5424</v>
      </c>
      <c r="C1721" s="8" t="n">
        <v>2006</v>
      </c>
      <c r="D1721" s="8" t="s">
        <v>58</v>
      </c>
      <c r="E1721" s="8" t="s">
        <v>5425</v>
      </c>
      <c r="F1721" s="8" t="s">
        <v>782</v>
      </c>
      <c r="G1721" s="8" t="s">
        <v>801</v>
      </c>
      <c r="H1721" s="8" t="s">
        <v>915</v>
      </c>
    </row>
    <row r="1722" customFormat="false" ht="15" hidden="false" customHeight="false" outlineLevel="0" collapsed="false">
      <c r="A1722" s="8" t="s">
        <v>5426</v>
      </c>
      <c r="B1722" s="8" t="s">
        <v>5427</v>
      </c>
      <c r="C1722" s="8" t="n">
        <v>2006</v>
      </c>
      <c r="D1722" s="8" t="s">
        <v>970</v>
      </c>
      <c r="E1722" s="8" t="s">
        <v>5428</v>
      </c>
      <c r="F1722" s="8" t="s">
        <v>782</v>
      </c>
      <c r="G1722" s="8" t="s">
        <v>972</v>
      </c>
      <c r="H1722" s="8" t="s">
        <v>973</v>
      </c>
    </row>
    <row r="1723" customFormat="false" ht="15" hidden="false" customHeight="false" outlineLevel="0" collapsed="false">
      <c r="A1723" s="8" t="s">
        <v>5429</v>
      </c>
      <c r="B1723" s="8" t="s">
        <v>5430</v>
      </c>
      <c r="C1723" s="8" t="n">
        <v>2008</v>
      </c>
      <c r="D1723" s="8" t="s">
        <v>58</v>
      </c>
      <c r="E1723" s="8" t="s">
        <v>5431</v>
      </c>
      <c r="F1723" s="8" t="s">
        <v>782</v>
      </c>
      <c r="G1723" s="8" t="s">
        <v>801</v>
      </c>
      <c r="H1723" s="8" t="s">
        <v>915</v>
      </c>
    </row>
    <row r="1724" customFormat="false" ht="15" hidden="false" customHeight="false" outlineLevel="0" collapsed="false">
      <c r="A1724" s="8" t="s">
        <v>5432</v>
      </c>
      <c r="B1724" s="8" t="s">
        <v>5433</v>
      </c>
      <c r="C1724" s="8" t="n">
        <v>2008</v>
      </c>
      <c r="D1724" s="8" t="s">
        <v>83</v>
      </c>
      <c r="E1724" s="8" t="s">
        <v>5434</v>
      </c>
      <c r="F1724" s="8" t="s">
        <v>782</v>
      </c>
      <c r="G1724" s="8" t="s">
        <v>801</v>
      </c>
      <c r="H1724" s="8" t="s">
        <v>915</v>
      </c>
    </row>
    <row r="1725" customFormat="false" ht="15" hidden="false" customHeight="false" outlineLevel="0" collapsed="false">
      <c r="A1725" s="8" t="s">
        <v>5435</v>
      </c>
      <c r="B1725" s="8" t="s">
        <v>5436</v>
      </c>
      <c r="C1725" s="8" t="n">
        <v>2008</v>
      </c>
      <c r="D1725" s="8" t="s">
        <v>58</v>
      </c>
      <c r="E1725" s="8" t="s">
        <v>5437</v>
      </c>
      <c r="F1725" s="8" t="s">
        <v>782</v>
      </c>
      <c r="G1725" s="8" t="s">
        <v>801</v>
      </c>
      <c r="H1725" s="8" t="s">
        <v>915</v>
      </c>
    </row>
    <row r="1726" customFormat="false" ht="15" hidden="false" customHeight="false" outlineLevel="0" collapsed="false">
      <c r="A1726" s="8" t="s">
        <v>5438</v>
      </c>
      <c r="B1726" s="8" t="s">
        <v>5439</v>
      </c>
      <c r="C1726" s="8" t="n">
        <v>2005</v>
      </c>
      <c r="D1726" s="8" t="s">
        <v>58</v>
      </c>
      <c r="E1726" s="8" t="s">
        <v>5440</v>
      </c>
      <c r="F1726" s="8" t="s">
        <v>782</v>
      </c>
      <c r="G1726" s="8" t="s">
        <v>895</v>
      </c>
      <c r="H1726" s="8" t="s">
        <v>896</v>
      </c>
    </row>
    <row r="1727" customFormat="false" ht="15" hidden="false" customHeight="false" outlineLevel="0" collapsed="false">
      <c r="A1727" s="8" t="s">
        <v>5441</v>
      </c>
      <c r="B1727" s="8" t="s">
        <v>5442</v>
      </c>
      <c r="C1727" s="8" t="n">
        <v>2009</v>
      </c>
      <c r="D1727" s="8" t="s">
        <v>58</v>
      </c>
      <c r="E1727" s="8" t="s">
        <v>5443</v>
      </c>
      <c r="F1727" s="8" t="s">
        <v>782</v>
      </c>
      <c r="G1727" s="8" t="s">
        <v>783</v>
      </c>
      <c r="H1727" s="8" t="s">
        <v>784</v>
      </c>
    </row>
    <row r="1728" customFormat="false" ht="15" hidden="false" customHeight="false" outlineLevel="0" collapsed="false">
      <c r="A1728" s="8" t="s">
        <v>5444</v>
      </c>
      <c r="B1728" s="8" t="s">
        <v>5445</v>
      </c>
      <c r="C1728" s="8" t="n">
        <v>2007</v>
      </c>
      <c r="D1728" s="8" t="s">
        <v>58</v>
      </c>
      <c r="E1728" s="8"/>
      <c r="F1728" s="8" t="s">
        <v>782</v>
      </c>
      <c r="G1728" s="8" t="s">
        <v>783</v>
      </c>
      <c r="H1728" s="8" t="s">
        <v>861</v>
      </c>
    </row>
    <row r="1729" customFormat="false" ht="15" hidden="false" customHeight="false" outlineLevel="0" collapsed="false">
      <c r="A1729" s="8" t="s">
        <v>5446</v>
      </c>
      <c r="B1729" s="8" t="s">
        <v>5447</v>
      </c>
      <c r="C1729" s="8" t="n">
        <v>2007</v>
      </c>
      <c r="D1729" s="8" t="s">
        <v>58</v>
      </c>
      <c r="E1729" s="8" t="s">
        <v>5448</v>
      </c>
      <c r="F1729" s="8" t="s">
        <v>782</v>
      </c>
      <c r="G1729" s="8" t="s">
        <v>801</v>
      </c>
      <c r="H1729" s="8" t="s">
        <v>802</v>
      </c>
    </row>
    <row r="1730" customFormat="false" ht="15" hidden="false" customHeight="false" outlineLevel="0" collapsed="false">
      <c r="A1730" s="8" t="s">
        <v>5449</v>
      </c>
      <c r="B1730" s="8" t="s">
        <v>5450</v>
      </c>
      <c r="C1730" s="8" t="n">
        <v>2007</v>
      </c>
      <c r="D1730" s="8" t="s">
        <v>58</v>
      </c>
      <c r="E1730" s="8" t="s">
        <v>5451</v>
      </c>
      <c r="F1730" s="8" t="s">
        <v>782</v>
      </c>
      <c r="G1730" s="8" t="s">
        <v>801</v>
      </c>
      <c r="H1730" s="8" t="s">
        <v>915</v>
      </c>
    </row>
    <row r="1731" customFormat="false" ht="15" hidden="false" customHeight="false" outlineLevel="0" collapsed="false">
      <c r="A1731" s="8" t="s">
        <v>5452</v>
      </c>
      <c r="B1731" s="8" t="s">
        <v>5453</v>
      </c>
      <c r="C1731" s="8" t="n">
        <v>2008</v>
      </c>
      <c r="D1731" s="8" t="s">
        <v>58</v>
      </c>
      <c r="E1731" s="8" t="s">
        <v>5454</v>
      </c>
      <c r="F1731" s="8" t="s">
        <v>782</v>
      </c>
      <c r="G1731" s="8" t="s">
        <v>801</v>
      </c>
      <c r="H1731" s="8" t="s">
        <v>915</v>
      </c>
    </row>
    <row r="1732" customFormat="false" ht="15" hidden="false" customHeight="false" outlineLevel="0" collapsed="false">
      <c r="A1732" s="8" t="s">
        <v>5455</v>
      </c>
      <c r="B1732" s="8" t="s">
        <v>5456</v>
      </c>
      <c r="C1732" s="8" t="n">
        <v>2007</v>
      </c>
      <c r="D1732" s="8" t="s">
        <v>58</v>
      </c>
      <c r="E1732" s="8" t="s">
        <v>5457</v>
      </c>
      <c r="F1732" s="8" t="s">
        <v>782</v>
      </c>
      <c r="G1732" s="8" t="s">
        <v>801</v>
      </c>
      <c r="H1732" s="8" t="s">
        <v>915</v>
      </c>
    </row>
    <row r="1733" customFormat="false" ht="15" hidden="false" customHeight="false" outlineLevel="0" collapsed="false">
      <c r="A1733" s="8" t="s">
        <v>5458</v>
      </c>
      <c r="B1733" s="8" t="s">
        <v>5459</v>
      </c>
      <c r="C1733" s="8" t="n">
        <v>2009</v>
      </c>
      <c r="D1733" s="8" t="s">
        <v>58</v>
      </c>
      <c r="E1733" s="8" t="s">
        <v>5460</v>
      </c>
      <c r="F1733" s="8" t="s">
        <v>782</v>
      </c>
      <c r="G1733" s="8" t="s">
        <v>801</v>
      </c>
      <c r="H1733" s="8" t="s">
        <v>915</v>
      </c>
    </row>
    <row r="1734" customFormat="false" ht="15" hidden="false" customHeight="false" outlineLevel="0" collapsed="false">
      <c r="A1734" s="8" t="s">
        <v>5461</v>
      </c>
      <c r="B1734" s="8" t="s">
        <v>5462</v>
      </c>
      <c r="C1734" s="8" t="n">
        <v>2008</v>
      </c>
      <c r="D1734" s="8" t="s">
        <v>83</v>
      </c>
      <c r="E1734" s="8" t="s">
        <v>5463</v>
      </c>
      <c r="F1734" s="8" t="s">
        <v>782</v>
      </c>
      <c r="G1734" s="8" t="s">
        <v>801</v>
      </c>
      <c r="H1734" s="8" t="s">
        <v>915</v>
      </c>
    </row>
    <row r="1735" customFormat="false" ht="15" hidden="false" customHeight="false" outlineLevel="0" collapsed="false">
      <c r="A1735" s="8" t="s">
        <v>5464</v>
      </c>
      <c r="B1735" s="8" t="s">
        <v>5465</v>
      </c>
      <c r="C1735" s="8" t="n">
        <v>2004</v>
      </c>
      <c r="D1735" s="8" t="s">
        <v>58</v>
      </c>
      <c r="E1735" s="8"/>
      <c r="F1735" s="8" t="s">
        <v>782</v>
      </c>
      <c r="G1735" s="8" t="s">
        <v>783</v>
      </c>
      <c r="H1735" s="8" t="s">
        <v>784</v>
      </c>
    </row>
    <row r="1736" customFormat="false" ht="15" hidden="false" customHeight="false" outlineLevel="0" collapsed="false">
      <c r="A1736" s="8" t="s">
        <v>5466</v>
      </c>
      <c r="B1736" s="8" t="s">
        <v>5467</v>
      </c>
      <c r="C1736" s="8" t="n">
        <v>2009</v>
      </c>
      <c r="D1736" s="8" t="s">
        <v>58</v>
      </c>
      <c r="E1736" s="8" t="s">
        <v>5468</v>
      </c>
      <c r="F1736" s="8" t="s">
        <v>782</v>
      </c>
      <c r="G1736" s="8" t="s">
        <v>801</v>
      </c>
      <c r="H1736" s="8" t="s">
        <v>802</v>
      </c>
    </row>
    <row r="1737" customFormat="false" ht="15" hidden="false" customHeight="false" outlineLevel="0" collapsed="false">
      <c r="A1737" s="8" t="s">
        <v>5469</v>
      </c>
      <c r="B1737" s="8" t="s">
        <v>5470</v>
      </c>
      <c r="C1737" s="8" t="n">
        <v>2007</v>
      </c>
      <c r="D1737" s="8" t="s">
        <v>58</v>
      </c>
      <c r="E1737" s="8" t="s">
        <v>5471</v>
      </c>
      <c r="F1737" s="8" t="s">
        <v>782</v>
      </c>
      <c r="G1737" s="8" t="s">
        <v>801</v>
      </c>
      <c r="H1737" s="8" t="s">
        <v>915</v>
      </c>
    </row>
    <row r="1738" customFormat="false" ht="15" hidden="false" customHeight="false" outlineLevel="0" collapsed="false">
      <c r="A1738" s="8" t="s">
        <v>5472</v>
      </c>
      <c r="B1738" s="8" t="s">
        <v>5473</v>
      </c>
      <c r="C1738" s="8" t="n">
        <v>2006</v>
      </c>
      <c r="D1738" s="8" t="s">
        <v>58</v>
      </c>
      <c r="E1738" s="8" t="s">
        <v>5474</v>
      </c>
      <c r="F1738" s="8" t="s">
        <v>782</v>
      </c>
      <c r="G1738" s="8" t="s">
        <v>801</v>
      </c>
      <c r="H1738" s="8" t="s">
        <v>915</v>
      </c>
    </row>
    <row r="1739" customFormat="false" ht="15" hidden="false" customHeight="false" outlineLevel="0" collapsed="false">
      <c r="A1739" s="8" t="s">
        <v>5475</v>
      </c>
      <c r="B1739" s="8" t="s">
        <v>5476</v>
      </c>
      <c r="C1739" s="8" t="n">
        <v>2008</v>
      </c>
      <c r="D1739" s="8" t="s">
        <v>58</v>
      </c>
      <c r="E1739" s="8" t="s">
        <v>5477</v>
      </c>
      <c r="F1739" s="8" t="s">
        <v>782</v>
      </c>
      <c r="G1739" s="8" t="s">
        <v>788</v>
      </c>
      <c r="H1739" s="8" t="s">
        <v>789</v>
      </c>
    </row>
    <row r="1740" customFormat="false" ht="15" hidden="false" customHeight="false" outlineLevel="0" collapsed="false">
      <c r="A1740" s="8" t="s">
        <v>5478</v>
      </c>
      <c r="B1740" s="8" t="s">
        <v>5479</v>
      </c>
      <c r="C1740" s="8" t="n">
        <v>2008</v>
      </c>
      <c r="D1740" s="8" t="s">
        <v>58</v>
      </c>
      <c r="E1740" s="8" t="s">
        <v>5480</v>
      </c>
      <c r="F1740" s="8" t="s">
        <v>782</v>
      </c>
      <c r="G1740" s="8" t="s">
        <v>801</v>
      </c>
      <c r="H1740" s="8" t="s">
        <v>915</v>
      </c>
    </row>
    <row r="1741" customFormat="false" ht="15" hidden="false" customHeight="false" outlineLevel="0" collapsed="false">
      <c r="A1741" s="8" t="s">
        <v>5481</v>
      </c>
      <c r="B1741" s="8" t="s">
        <v>5482</v>
      </c>
      <c r="C1741" s="8" t="n">
        <v>2007</v>
      </c>
      <c r="D1741" s="8" t="s">
        <v>58</v>
      </c>
      <c r="E1741" s="8" t="s">
        <v>5483</v>
      </c>
      <c r="F1741" s="8" t="s">
        <v>782</v>
      </c>
      <c r="G1741" s="8" t="s">
        <v>801</v>
      </c>
      <c r="H1741" s="8" t="s">
        <v>802</v>
      </c>
    </row>
    <row r="1742" customFormat="false" ht="15" hidden="false" customHeight="false" outlineLevel="0" collapsed="false">
      <c r="A1742" s="8" t="s">
        <v>5484</v>
      </c>
      <c r="B1742" s="8" t="s">
        <v>5485</v>
      </c>
      <c r="C1742" s="8" t="n">
        <v>2008</v>
      </c>
      <c r="D1742" s="8" t="s">
        <v>58</v>
      </c>
      <c r="E1742" s="8" t="s">
        <v>5486</v>
      </c>
      <c r="F1742" s="8" t="s">
        <v>782</v>
      </c>
      <c r="G1742" s="8" t="s">
        <v>801</v>
      </c>
      <c r="H1742" s="8" t="s">
        <v>915</v>
      </c>
    </row>
    <row r="1743" customFormat="false" ht="15" hidden="false" customHeight="false" outlineLevel="0" collapsed="false">
      <c r="A1743" s="8" t="s">
        <v>5487</v>
      </c>
      <c r="B1743" s="8" t="s">
        <v>5488</v>
      </c>
      <c r="C1743" s="8" t="n">
        <v>2008</v>
      </c>
      <c r="D1743" s="8" t="s">
        <v>58</v>
      </c>
      <c r="E1743" s="8" t="s">
        <v>5489</v>
      </c>
      <c r="F1743" s="8" t="s">
        <v>782</v>
      </c>
      <c r="G1743" s="8" t="s">
        <v>801</v>
      </c>
      <c r="H1743" s="8" t="s">
        <v>915</v>
      </c>
    </row>
    <row r="1744" customFormat="false" ht="15" hidden="false" customHeight="false" outlineLevel="0" collapsed="false">
      <c r="A1744" s="8" t="s">
        <v>5490</v>
      </c>
      <c r="B1744" s="8" t="s">
        <v>5491</v>
      </c>
      <c r="C1744" s="8" t="n">
        <v>2008</v>
      </c>
      <c r="D1744" s="8" t="s">
        <v>58</v>
      </c>
      <c r="E1744" s="8" t="s">
        <v>5492</v>
      </c>
      <c r="F1744" s="8" t="s">
        <v>782</v>
      </c>
      <c r="G1744" s="8" t="s">
        <v>783</v>
      </c>
      <c r="H1744" s="8" t="s">
        <v>784</v>
      </c>
    </row>
    <row r="1745" customFormat="false" ht="15" hidden="false" customHeight="false" outlineLevel="0" collapsed="false">
      <c r="A1745" s="8" t="s">
        <v>5493</v>
      </c>
      <c r="B1745" s="8" t="s">
        <v>5494</v>
      </c>
      <c r="C1745" s="8" t="n">
        <v>2007</v>
      </c>
      <c r="D1745" s="8" t="s">
        <v>58</v>
      </c>
      <c r="E1745" s="8" t="s">
        <v>5495</v>
      </c>
      <c r="F1745" s="8" t="s">
        <v>782</v>
      </c>
      <c r="G1745" s="8" t="s">
        <v>783</v>
      </c>
      <c r="H1745" s="8" t="s">
        <v>784</v>
      </c>
    </row>
    <row r="1746" customFormat="false" ht="15" hidden="false" customHeight="false" outlineLevel="0" collapsed="false">
      <c r="A1746" s="8" t="s">
        <v>5496</v>
      </c>
      <c r="B1746" s="8" t="s">
        <v>5497</v>
      </c>
      <c r="C1746" s="8" t="n">
        <v>2007</v>
      </c>
      <c r="D1746" s="8" t="s">
        <v>58</v>
      </c>
      <c r="E1746" s="8" t="s">
        <v>5498</v>
      </c>
      <c r="F1746" s="8" t="s">
        <v>782</v>
      </c>
      <c r="G1746" s="8" t="s">
        <v>801</v>
      </c>
      <c r="H1746" s="8" t="s">
        <v>915</v>
      </c>
    </row>
    <row r="1747" customFormat="false" ht="15" hidden="false" customHeight="false" outlineLevel="0" collapsed="false">
      <c r="A1747" s="8" t="s">
        <v>5499</v>
      </c>
      <c r="B1747" s="8" t="s">
        <v>5500</v>
      </c>
      <c r="C1747" s="8" t="n">
        <v>2007</v>
      </c>
      <c r="D1747" s="8" t="s">
        <v>58</v>
      </c>
      <c r="E1747" s="8" t="s">
        <v>5501</v>
      </c>
      <c r="F1747" s="8" t="s">
        <v>782</v>
      </c>
      <c r="G1747" s="8" t="s">
        <v>801</v>
      </c>
      <c r="H1747" s="8" t="s">
        <v>915</v>
      </c>
    </row>
    <row r="1748" customFormat="false" ht="15" hidden="false" customHeight="false" outlineLevel="0" collapsed="false">
      <c r="A1748" s="8" t="s">
        <v>5502</v>
      </c>
      <c r="B1748" s="8" t="s">
        <v>5503</v>
      </c>
      <c r="C1748" s="8" t="n">
        <v>2006</v>
      </c>
      <c r="D1748" s="8" t="s">
        <v>58</v>
      </c>
      <c r="E1748" s="8" t="s">
        <v>5504</v>
      </c>
      <c r="F1748" s="8" t="s">
        <v>782</v>
      </c>
      <c r="G1748" s="8" t="s">
        <v>801</v>
      </c>
      <c r="H1748" s="8" t="s">
        <v>915</v>
      </c>
    </row>
    <row r="1749" customFormat="false" ht="15" hidden="false" customHeight="false" outlineLevel="0" collapsed="false">
      <c r="A1749" s="8" t="s">
        <v>5505</v>
      </c>
      <c r="B1749" s="8" t="s">
        <v>5506</v>
      </c>
      <c r="C1749" s="8" t="n">
        <v>2007</v>
      </c>
      <c r="D1749" s="8" t="s">
        <v>58</v>
      </c>
      <c r="E1749" s="8" t="s">
        <v>5507</v>
      </c>
      <c r="F1749" s="8" t="s">
        <v>782</v>
      </c>
      <c r="G1749" s="8" t="s">
        <v>783</v>
      </c>
      <c r="H1749" s="8" t="s">
        <v>784</v>
      </c>
    </row>
    <row r="1750" customFormat="false" ht="15" hidden="false" customHeight="false" outlineLevel="0" collapsed="false">
      <c r="A1750" s="8" t="s">
        <v>5508</v>
      </c>
      <c r="B1750" s="8" t="s">
        <v>5509</v>
      </c>
      <c r="C1750" s="8" t="n">
        <v>2009</v>
      </c>
      <c r="D1750" s="8" t="s">
        <v>83</v>
      </c>
      <c r="E1750" s="8" t="s">
        <v>5510</v>
      </c>
      <c r="F1750" s="8" t="s">
        <v>782</v>
      </c>
      <c r="G1750" s="8" t="s">
        <v>783</v>
      </c>
      <c r="H1750" s="8" t="s">
        <v>784</v>
      </c>
    </row>
    <row r="1751" customFormat="false" ht="15" hidden="false" customHeight="false" outlineLevel="0" collapsed="false">
      <c r="A1751" s="8" t="s">
        <v>5511</v>
      </c>
      <c r="B1751" s="8" t="s">
        <v>5512</v>
      </c>
      <c r="C1751" s="8" t="n">
        <v>2008</v>
      </c>
      <c r="D1751" s="8" t="s">
        <v>58</v>
      </c>
      <c r="E1751" s="8" t="s">
        <v>5513</v>
      </c>
      <c r="F1751" s="8" t="s">
        <v>782</v>
      </c>
      <c r="G1751" s="8" t="s">
        <v>783</v>
      </c>
      <c r="H1751" s="8" t="s">
        <v>784</v>
      </c>
    </row>
    <row r="1752" customFormat="false" ht="15" hidden="false" customHeight="false" outlineLevel="0" collapsed="false">
      <c r="A1752" s="8" t="s">
        <v>5514</v>
      </c>
      <c r="B1752" s="8" t="s">
        <v>5515</v>
      </c>
      <c r="C1752" s="8" t="n">
        <v>2008</v>
      </c>
      <c r="D1752" s="8" t="s">
        <v>58</v>
      </c>
      <c r="E1752" s="8" t="s">
        <v>5516</v>
      </c>
      <c r="F1752" s="8" t="s">
        <v>782</v>
      </c>
      <c r="G1752" s="8" t="s">
        <v>801</v>
      </c>
      <c r="H1752" s="8" t="s">
        <v>915</v>
      </c>
    </row>
    <row r="1753" customFormat="false" ht="15" hidden="false" customHeight="false" outlineLevel="0" collapsed="false">
      <c r="A1753" s="8" t="s">
        <v>5517</v>
      </c>
      <c r="B1753" s="8" t="s">
        <v>5518</v>
      </c>
      <c r="C1753" s="8" t="n">
        <v>2008</v>
      </c>
      <c r="D1753" s="8" t="s">
        <v>58</v>
      </c>
      <c r="E1753" s="8" t="s">
        <v>5519</v>
      </c>
      <c r="F1753" s="8" t="s">
        <v>782</v>
      </c>
      <c r="G1753" s="8" t="s">
        <v>801</v>
      </c>
      <c r="H1753" s="8" t="s">
        <v>915</v>
      </c>
    </row>
    <row r="1754" customFormat="false" ht="15" hidden="false" customHeight="false" outlineLevel="0" collapsed="false">
      <c r="A1754" s="8" t="s">
        <v>5520</v>
      </c>
      <c r="B1754" s="8" t="s">
        <v>5521</v>
      </c>
      <c r="C1754" s="8" t="n">
        <v>2008</v>
      </c>
      <c r="D1754" s="8" t="s">
        <v>58</v>
      </c>
      <c r="E1754" s="8"/>
      <c r="F1754" s="8" t="s">
        <v>782</v>
      </c>
      <c r="G1754" s="8" t="s">
        <v>783</v>
      </c>
      <c r="H1754" s="8" t="s">
        <v>784</v>
      </c>
    </row>
    <row r="1755" customFormat="false" ht="15" hidden="false" customHeight="false" outlineLevel="0" collapsed="false">
      <c r="A1755" s="8" t="s">
        <v>5522</v>
      </c>
      <c r="B1755" s="8" t="s">
        <v>5523</v>
      </c>
      <c r="C1755" s="8" t="n">
        <v>2007</v>
      </c>
      <c r="D1755" s="8" t="s">
        <v>58</v>
      </c>
      <c r="E1755" s="8" t="s">
        <v>5524</v>
      </c>
      <c r="F1755" s="8" t="s">
        <v>782</v>
      </c>
      <c r="G1755" s="8" t="s">
        <v>783</v>
      </c>
      <c r="H1755" s="8" t="s">
        <v>784</v>
      </c>
    </row>
    <row r="1756" customFormat="false" ht="15" hidden="false" customHeight="false" outlineLevel="0" collapsed="false">
      <c r="A1756" s="8" t="s">
        <v>5525</v>
      </c>
      <c r="B1756" s="8" t="s">
        <v>5526</v>
      </c>
      <c r="C1756" s="8" t="n">
        <v>2008</v>
      </c>
      <c r="D1756" s="8" t="s">
        <v>58</v>
      </c>
      <c r="E1756" s="8" t="s">
        <v>5527</v>
      </c>
      <c r="F1756" s="8" t="s">
        <v>782</v>
      </c>
      <c r="G1756" s="8" t="s">
        <v>783</v>
      </c>
      <c r="H1756" s="8" t="s">
        <v>784</v>
      </c>
    </row>
    <row r="1757" customFormat="false" ht="15" hidden="false" customHeight="false" outlineLevel="0" collapsed="false">
      <c r="A1757" s="8" t="s">
        <v>5528</v>
      </c>
      <c r="B1757" s="8" t="s">
        <v>5529</v>
      </c>
      <c r="C1757" s="8" t="n">
        <v>2007</v>
      </c>
      <c r="D1757" s="8" t="s">
        <v>83</v>
      </c>
      <c r="E1757" s="8" t="s">
        <v>5530</v>
      </c>
      <c r="F1757" s="8" t="s">
        <v>782</v>
      </c>
      <c r="G1757" s="8" t="s">
        <v>783</v>
      </c>
      <c r="H1757" s="8" t="s">
        <v>784</v>
      </c>
    </row>
    <row r="1758" customFormat="false" ht="15" hidden="false" customHeight="false" outlineLevel="0" collapsed="false">
      <c r="A1758" s="8" t="s">
        <v>5531</v>
      </c>
      <c r="B1758" s="8" t="s">
        <v>5532</v>
      </c>
      <c r="C1758" s="8" t="n">
        <v>2006</v>
      </c>
      <c r="D1758" s="8" t="s">
        <v>58</v>
      </c>
      <c r="E1758" s="8" t="s">
        <v>5533</v>
      </c>
      <c r="F1758" s="8" t="s">
        <v>782</v>
      </c>
      <c r="G1758" s="8" t="s">
        <v>783</v>
      </c>
      <c r="H1758" s="8" t="s">
        <v>784</v>
      </c>
    </row>
    <row r="1759" customFormat="false" ht="15" hidden="false" customHeight="false" outlineLevel="0" collapsed="false">
      <c r="A1759" s="8" t="s">
        <v>5534</v>
      </c>
      <c r="B1759" s="8" t="s">
        <v>5535</v>
      </c>
      <c r="C1759" s="8" t="n">
        <v>2008</v>
      </c>
      <c r="D1759" s="8" t="s">
        <v>58</v>
      </c>
      <c r="E1759" s="8" t="s">
        <v>5536</v>
      </c>
      <c r="F1759" s="8" t="s">
        <v>782</v>
      </c>
      <c r="G1759" s="8" t="s">
        <v>783</v>
      </c>
      <c r="H1759" s="8" t="s">
        <v>784</v>
      </c>
    </row>
    <row r="1760" customFormat="false" ht="15" hidden="false" customHeight="false" outlineLevel="0" collapsed="false">
      <c r="A1760" s="8" t="s">
        <v>5537</v>
      </c>
      <c r="B1760" s="8" t="s">
        <v>5538</v>
      </c>
      <c r="C1760" s="8" t="n">
        <v>2008</v>
      </c>
      <c r="D1760" s="8" t="s">
        <v>58</v>
      </c>
      <c r="E1760" s="8" t="s">
        <v>5539</v>
      </c>
      <c r="F1760" s="8" t="s">
        <v>782</v>
      </c>
      <c r="G1760" s="8" t="s">
        <v>801</v>
      </c>
      <c r="H1760" s="8" t="s">
        <v>802</v>
      </c>
    </row>
    <row r="1761" customFormat="false" ht="15" hidden="false" customHeight="false" outlineLevel="0" collapsed="false">
      <c r="A1761" s="8" t="s">
        <v>5540</v>
      </c>
      <c r="B1761" s="8" t="s">
        <v>5541</v>
      </c>
      <c r="C1761" s="8" t="n">
        <v>2007</v>
      </c>
      <c r="D1761" s="8" t="s">
        <v>58</v>
      </c>
      <c r="E1761" s="8"/>
      <c r="F1761" s="8" t="s">
        <v>782</v>
      </c>
      <c r="G1761" s="8" t="s">
        <v>801</v>
      </c>
      <c r="H1761" s="8" t="s">
        <v>802</v>
      </c>
    </row>
    <row r="1762" customFormat="false" ht="15" hidden="false" customHeight="false" outlineLevel="0" collapsed="false">
      <c r="A1762" s="8" t="s">
        <v>5542</v>
      </c>
      <c r="B1762" s="8" t="s">
        <v>5543</v>
      </c>
      <c r="C1762" s="8" t="n">
        <v>2008</v>
      </c>
      <c r="D1762" s="8" t="s">
        <v>58</v>
      </c>
      <c r="E1762" s="8" t="s">
        <v>5544</v>
      </c>
      <c r="F1762" s="8" t="s">
        <v>782</v>
      </c>
      <c r="G1762" s="8" t="s">
        <v>801</v>
      </c>
      <c r="H1762" s="8" t="s">
        <v>915</v>
      </c>
    </row>
    <row r="1763" customFormat="false" ht="15" hidden="false" customHeight="false" outlineLevel="0" collapsed="false">
      <c r="A1763" s="8" t="s">
        <v>5545</v>
      </c>
      <c r="B1763" s="8" t="s">
        <v>5546</v>
      </c>
      <c r="C1763" s="8" t="n">
        <v>2008</v>
      </c>
      <c r="D1763" s="8" t="s">
        <v>90</v>
      </c>
      <c r="E1763" s="8" t="s">
        <v>5547</v>
      </c>
      <c r="F1763" s="8" t="s">
        <v>782</v>
      </c>
      <c r="G1763" s="8" t="s">
        <v>801</v>
      </c>
      <c r="H1763" s="8" t="s">
        <v>802</v>
      </c>
    </row>
    <row r="1764" customFormat="false" ht="15" hidden="false" customHeight="false" outlineLevel="0" collapsed="false">
      <c r="A1764" s="8" t="s">
        <v>5548</v>
      </c>
      <c r="B1764" s="8" t="s">
        <v>5549</v>
      </c>
      <c r="C1764" s="8" t="n">
        <v>2007</v>
      </c>
      <c r="D1764" s="8" t="s">
        <v>58</v>
      </c>
      <c r="E1764" s="8"/>
      <c r="F1764" s="8" t="s">
        <v>782</v>
      </c>
      <c r="G1764" s="8" t="s">
        <v>801</v>
      </c>
      <c r="H1764" s="8" t="s">
        <v>915</v>
      </c>
    </row>
    <row r="1765" customFormat="false" ht="15" hidden="false" customHeight="false" outlineLevel="0" collapsed="false">
      <c r="A1765" s="8" t="s">
        <v>5550</v>
      </c>
      <c r="B1765" s="8" t="s">
        <v>5551</v>
      </c>
      <c r="C1765" s="8" t="n">
        <v>2005</v>
      </c>
      <c r="D1765" s="8" t="s">
        <v>58</v>
      </c>
      <c r="E1765" s="8"/>
      <c r="F1765" s="8" t="s">
        <v>782</v>
      </c>
      <c r="G1765" s="8" t="s">
        <v>801</v>
      </c>
      <c r="H1765" s="8" t="s">
        <v>915</v>
      </c>
    </row>
    <row r="1766" customFormat="false" ht="15" hidden="false" customHeight="false" outlineLevel="0" collapsed="false">
      <c r="A1766" s="8" t="s">
        <v>5552</v>
      </c>
      <c r="B1766" s="8" t="s">
        <v>5553</v>
      </c>
      <c r="C1766" s="8" t="n">
        <v>2008</v>
      </c>
      <c r="D1766" s="8" t="s">
        <v>83</v>
      </c>
      <c r="E1766" s="8" t="s">
        <v>5554</v>
      </c>
      <c r="F1766" s="8" t="s">
        <v>782</v>
      </c>
      <c r="G1766" s="8" t="s">
        <v>788</v>
      </c>
      <c r="H1766" s="8" t="s">
        <v>789</v>
      </c>
    </row>
    <row r="1767" customFormat="false" ht="15" hidden="false" customHeight="false" outlineLevel="0" collapsed="false">
      <c r="A1767" s="8" t="s">
        <v>5555</v>
      </c>
      <c r="B1767" s="8" t="s">
        <v>5556</v>
      </c>
      <c r="C1767" s="8" t="n">
        <v>2009</v>
      </c>
      <c r="D1767" s="8" t="s">
        <v>58</v>
      </c>
      <c r="E1767" s="8" t="s">
        <v>5557</v>
      </c>
      <c r="F1767" s="8" t="s">
        <v>782</v>
      </c>
      <c r="G1767" s="8" t="s">
        <v>801</v>
      </c>
      <c r="H1767" s="8" t="s">
        <v>915</v>
      </c>
    </row>
    <row r="1768" customFormat="false" ht="15" hidden="false" customHeight="false" outlineLevel="0" collapsed="false">
      <c r="A1768" s="8" t="s">
        <v>5558</v>
      </c>
      <c r="B1768" s="8" t="s">
        <v>5559</v>
      </c>
      <c r="C1768" s="8" t="n">
        <v>2009</v>
      </c>
      <c r="D1768" s="8" t="s">
        <v>58</v>
      </c>
      <c r="E1768" s="8" t="s">
        <v>5560</v>
      </c>
      <c r="F1768" s="8" t="s">
        <v>782</v>
      </c>
      <c r="G1768" s="8" t="s">
        <v>783</v>
      </c>
      <c r="H1768" s="8" t="s">
        <v>784</v>
      </c>
    </row>
    <row r="1769" customFormat="false" ht="15" hidden="false" customHeight="false" outlineLevel="0" collapsed="false">
      <c r="A1769" s="8" t="s">
        <v>5561</v>
      </c>
      <c r="B1769" s="8" t="s">
        <v>5562</v>
      </c>
      <c r="C1769" s="8" t="n">
        <v>2004</v>
      </c>
      <c r="D1769" s="8" t="s">
        <v>58</v>
      </c>
      <c r="E1769" s="8"/>
      <c r="F1769" s="8" t="s">
        <v>782</v>
      </c>
      <c r="G1769" s="8" t="s">
        <v>783</v>
      </c>
      <c r="H1769" s="8" t="s">
        <v>784</v>
      </c>
    </row>
    <row r="1770" customFormat="false" ht="15" hidden="false" customHeight="false" outlineLevel="0" collapsed="false">
      <c r="A1770" s="8" t="s">
        <v>5563</v>
      </c>
      <c r="B1770" s="8" t="s">
        <v>5564</v>
      </c>
      <c r="C1770" s="8" t="n">
        <v>2007</v>
      </c>
      <c r="D1770" s="8" t="s">
        <v>58</v>
      </c>
      <c r="E1770" s="8" t="s">
        <v>5565</v>
      </c>
      <c r="F1770" s="8" t="s">
        <v>782</v>
      </c>
      <c r="G1770" s="8" t="s">
        <v>801</v>
      </c>
      <c r="H1770" s="8" t="s">
        <v>915</v>
      </c>
    </row>
    <row r="1771" customFormat="false" ht="15" hidden="false" customHeight="false" outlineLevel="0" collapsed="false">
      <c r="A1771" s="8" t="s">
        <v>5566</v>
      </c>
      <c r="B1771" s="8" t="s">
        <v>5567</v>
      </c>
      <c r="C1771" s="8" t="n">
        <v>2008</v>
      </c>
      <c r="D1771" s="8" t="s">
        <v>58</v>
      </c>
      <c r="E1771" s="8" t="s">
        <v>5568</v>
      </c>
      <c r="F1771" s="8" t="s">
        <v>782</v>
      </c>
      <c r="G1771" s="8" t="s">
        <v>801</v>
      </c>
      <c r="H1771" s="8" t="s">
        <v>915</v>
      </c>
    </row>
    <row r="1772" customFormat="false" ht="15" hidden="false" customHeight="false" outlineLevel="0" collapsed="false">
      <c r="A1772" s="8" t="s">
        <v>5569</v>
      </c>
      <c r="B1772" s="8" t="s">
        <v>5570</v>
      </c>
      <c r="C1772" s="8" t="n">
        <v>2009</v>
      </c>
      <c r="D1772" s="8" t="s">
        <v>58</v>
      </c>
      <c r="E1772" s="8"/>
      <c r="F1772" s="8" t="s">
        <v>782</v>
      </c>
      <c r="G1772" s="8" t="s">
        <v>783</v>
      </c>
      <c r="H1772" s="8" t="s">
        <v>784</v>
      </c>
    </row>
    <row r="1773" customFormat="false" ht="15" hidden="false" customHeight="false" outlineLevel="0" collapsed="false">
      <c r="A1773" s="8" t="s">
        <v>5571</v>
      </c>
      <c r="B1773" s="8" t="s">
        <v>5572</v>
      </c>
      <c r="C1773" s="8" t="n">
        <v>2008</v>
      </c>
      <c r="D1773" s="8" t="s">
        <v>83</v>
      </c>
      <c r="E1773" s="8" t="s">
        <v>5573</v>
      </c>
      <c r="F1773" s="8" t="s">
        <v>782</v>
      </c>
      <c r="G1773" s="8" t="s">
        <v>801</v>
      </c>
      <c r="H1773" s="8" t="s">
        <v>915</v>
      </c>
    </row>
    <row r="1774" customFormat="false" ht="15" hidden="false" customHeight="false" outlineLevel="0" collapsed="false">
      <c r="A1774" s="8" t="s">
        <v>5574</v>
      </c>
      <c r="B1774" s="8" t="s">
        <v>5575</v>
      </c>
      <c r="C1774" s="8" t="n">
        <v>2008</v>
      </c>
      <c r="D1774" s="8" t="s">
        <v>58</v>
      </c>
      <c r="E1774" s="8" t="s">
        <v>5576</v>
      </c>
      <c r="F1774" s="8" t="s">
        <v>782</v>
      </c>
      <c r="G1774" s="8" t="s">
        <v>801</v>
      </c>
      <c r="H1774" s="8" t="s">
        <v>915</v>
      </c>
    </row>
    <row r="1775" customFormat="false" ht="15" hidden="false" customHeight="false" outlineLevel="0" collapsed="false">
      <c r="A1775" s="8" t="s">
        <v>5577</v>
      </c>
      <c r="B1775" s="8" t="s">
        <v>5578</v>
      </c>
      <c r="C1775" s="8" t="n">
        <v>2009</v>
      </c>
      <c r="D1775" s="8" t="s">
        <v>58</v>
      </c>
      <c r="E1775" s="8" t="s">
        <v>5579</v>
      </c>
      <c r="F1775" s="8" t="s">
        <v>782</v>
      </c>
      <c r="G1775" s="8" t="s">
        <v>801</v>
      </c>
      <c r="H1775" s="8" t="s">
        <v>915</v>
      </c>
    </row>
    <row r="1776" customFormat="false" ht="15" hidden="false" customHeight="false" outlineLevel="0" collapsed="false">
      <c r="A1776" s="8" t="s">
        <v>5580</v>
      </c>
      <c r="B1776" s="8" t="s">
        <v>5581</v>
      </c>
      <c r="C1776" s="8" t="n">
        <v>2007</v>
      </c>
      <c r="D1776" s="8" t="s">
        <v>58</v>
      </c>
      <c r="E1776" s="8" t="s">
        <v>5582</v>
      </c>
      <c r="F1776" s="8" t="s">
        <v>782</v>
      </c>
      <c r="G1776" s="8" t="s">
        <v>801</v>
      </c>
      <c r="H1776" s="8" t="s">
        <v>915</v>
      </c>
    </row>
    <row r="1777" customFormat="false" ht="15" hidden="false" customHeight="false" outlineLevel="0" collapsed="false">
      <c r="A1777" s="8" t="s">
        <v>5583</v>
      </c>
      <c r="B1777" s="8" t="s">
        <v>5584</v>
      </c>
      <c r="C1777" s="8" t="n">
        <v>2008</v>
      </c>
      <c r="D1777" s="8" t="s">
        <v>83</v>
      </c>
      <c r="E1777" s="8" t="s">
        <v>5585</v>
      </c>
      <c r="F1777" s="8" t="s">
        <v>782</v>
      </c>
      <c r="G1777" s="8" t="s">
        <v>801</v>
      </c>
      <c r="H1777" s="8" t="s">
        <v>915</v>
      </c>
    </row>
    <row r="1778" customFormat="false" ht="15" hidden="false" customHeight="false" outlineLevel="0" collapsed="false">
      <c r="A1778" s="8" t="s">
        <v>5586</v>
      </c>
      <c r="B1778" s="8" t="s">
        <v>5587</v>
      </c>
      <c r="C1778" s="8" t="n">
        <v>2007</v>
      </c>
      <c r="D1778" s="8" t="s">
        <v>58</v>
      </c>
      <c r="E1778" s="8" t="s">
        <v>5588</v>
      </c>
      <c r="F1778" s="8" t="s">
        <v>782</v>
      </c>
      <c r="G1778" s="8" t="s">
        <v>801</v>
      </c>
      <c r="H1778" s="8" t="s">
        <v>915</v>
      </c>
    </row>
    <row r="1779" customFormat="false" ht="15" hidden="false" customHeight="false" outlineLevel="0" collapsed="false">
      <c r="A1779" s="8" t="s">
        <v>5589</v>
      </c>
      <c r="B1779" s="8" t="s">
        <v>5590</v>
      </c>
      <c r="C1779" s="8" t="n">
        <v>2007</v>
      </c>
      <c r="D1779" s="8" t="s">
        <v>58</v>
      </c>
      <c r="E1779" s="8" t="s">
        <v>5591</v>
      </c>
      <c r="F1779" s="8" t="s">
        <v>782</v>
      </c>
      <c r="G1779" s="8" t="s">
        <v>801</v>
      </c>
      <c r="H1779" s="8" t="s">
        <v>915</v>
      </c>
    </row>
    <row r="1780" customFormat="false" ht="15" hidden="false" customHeight="false" outlineLevel="0" collapsed="false">
      <c r="A1780" s="8" t="s">
        <v>5592</v>
      </c>
      <c r="B1780" s="8" t="s">
        <v>5593</v>
      </c>
      <c r="C1780" s="8" t="n">
        <v>2009</v>
      </c>
      <c r="D1780" s="8" t="s">
        <v>58</v>
      </c>
      <c r="E1780" s="8"/>
      <c r="F1780" s="8" t="s">
        <v>782</v>
      </c>
      <c r="G1780" s="8" t="s">
        <v>801</v>
      </c>
      <c r="H1780" s="8" t="s">
        <v>915</v>
      </c>
    </row>
    <row r="1781" customFormat="false" ht="15" hidden="false" customHeight="false" outlineLevel="0" collapsed="false">
      <c r="A1781" s="8" t="s">
        <v>5594</v>
      </c>
      <c r="B1781" s="8" t="s">
        <v>5595</v>
      </c>
      <c r="C1781" s="8" t="n">
        <v>2004</v>
      </c>
      <c r="D1781" s="8" t="s">
        <v>58</v>
      </c>
      <c r="E1781" s="8" t="s">
        <v>5596</v>
      </c>
      <c r="F1781" s="8" t="s">
        <v>782</v>
      </c>
      <c r="G1781" s="8" t="s">
        <v>783</v>
      </c>
      <c r="H1781" s="8" t="s">
        <v>784</v>
      </c>
    </row>
    <row r="1782" customFormat="false" ht="15" hidden="false" customHeight="false" outlineLevel="0" collapsed="false">
      <c r="A1782" s="8" t="s">
        <v>5597</v>
      </c>
      <c r="B1782" s="8" t="s">
        <v>5598</v>
      </c>
      <c r="C1782" s="8" t="n">
        <v>2004</v>
      </c>
      <c r="D1782" s="8" t="s">
        <v>58</v>
      </c>
      <c r="E1782" s="8" t="s">
        <v>5599</v>
      </c>
      <c r="F1782" s="8" t="s">
        <v>782</v>
      </c>
      <c r="G1782" s="8" t="s">
        <v>801</v>
      </c>
      <c r="H1782" s="8" t="s">
        <v>915</v>
      </c>
    </row>
    <row r="1783" customFormat="false" ht="15" hidden="false" customHeight="false" outlineLevel="0" collapsed="false">
      <c r="A1783" s="8" t="s">
        <v>5600</v>
      </c>
      <c r="B1783" s="8" t="s">
        <v>5601</v>
      </c>
      <c r="C1783" s="8" t="n">
        <v>2007</v>
      </c>
      <c r="D1783" s="8" t="s">
        <v>58</v>
      </c>
      <c r="E1783" s="8"/>
      <c r="F1783" s="8" t="s">
        <v>782</v>
      </c>
      <c r="G1783" s="8" t="s">
        <v>801</v>
      </c>
      <c r="H1783" s="8" t="s">
        <v>915</v>
      </c>
    </row>
    <row r="1784" customFormat="false" ht="15" hidden="false" customHeight="false" outlineLevel="0" collapsed="false">
      <c r="A1784" s="8" t="s">
        <v>5602</v>
      </c>
      <c r="B1784" s="8" t="s">
        <v>5603</v>
      </c>
      <c r="C1784" s="8" t="n">
        <v>2008</v>
      </c>
      <c r="D1784" s="8" t="s">
        <v>58</v>
      </c>
      <c r="E1784" s="8" t="s">
        <v>5604</v>
      </c>
      <c r="F1784" s="8" t="s">
        <v>782</v>
      </c>
      <c r="G1784" s="8" t="s">
        <v>801</v>
      </c>
      <c r="H1784" s="8" t="s">
        <v>915</v>
      </c>
    </row>
    <row r="1785" customFormat="false" ht="15" hidden="false" customHeight="false" outlineLevel="0" collapsed="false">
      <c r="A1785" s="8" t="s">
        <v>5605</v>
      </c>
      <c r="B1785" s="8" t="s">
        <v>5606</v>
      </c>
      <c r="C1785" s="8" t="n">
        <v>2008</v>
      </c>
      <c r="D1785" s="8" t="s">
        <v>58</v>
      </c>
      <c r="E1785" s="8" t="s">
        <v>5607</v>
      </c>
      <c r="F1785" s="8" t="s">
        <v>782</v>
      </c>
      <c r="G1785" s="8" t="s">
        <v>801</v>
      </c>
      <c r="H1785" s="8" t="s">
        <v>915</v>
      </c>
    </row>
    <row r="1786" customFormat="false" ht="15" hidden="false" customHeight="false" outlineLevel="0" collapsed="false">
      <c r="A1786" s="8" t="s">
        <v>5608</v>
      </c>
      <c r="B1786" s="8" t="s">
        <v>5609</v>
      </c>
      <c r="C1786" s="8" t="n">
        <v>2007</v>
      </c>
      <c r="D1786" s="8" t="s">
        <v>58</v>
      </c>
      <c r="E1786" s="8" t="s">
        <v>5610</v>
      </c>
      <c r="F1786" s="8" t="s">
        <v>782</v>
      </c>
      <c r="G1786" s="8" t="s">
        <v>783</v>
      </c>
      <c r="H1786" s="8" t="s">
        <v>784</v>
      </c>
    </row>
    <row r="1787" customFormat="false" ht="15" hidden="false" customHeight="false" outlineLevel="0" collapsed="false">
      <c r="A1787" s="8" t="s">
        <v>5611</v>
      </c>
      <c r="B1787" s="8" t="s">
        <v>5612</v>
      </c>
      <c r="C1787" s="8" t="n">
        <v>2008</v>
      </c>
      <c r="D1787" s="8" t="s">
        <v>83</v>
      </c>
      <c r="E1787" s="8" t="s">
        <v>5613</v>
      </c>
      <c r="F1787" s="8" t="s">
        <v>782</v>
      </c>
      <c r="G1787" s="8" t="s">
        <v>801</v>
      </c>
      <c r="H1787" s="8" t="s">
        <v>915</v>
      </c>
    </row>
    <row r="1788" customFormat="false" ht="15" hidden="false" customHeight="false" outlineLevel="0" collapsed="false">
      <c r="A1788" s="8" t="s">
        <v>5614</v>
      </c>
      <c r="B1788" s="8" t="s">
        <v>5615</v>
      </c>
      <c r="C1788" s="8" t="n">
        <v>2007</v>
      </c>
      <c r="D1788" s="8" t="s">
        <v>58</v>
      </c>
      <c r="E1788" s="8" t="s">
        <v>5616</v>
      </c>
      <c r="F1788" s="8" t="s">
        <v>782</v>
      </c>
      <c r="G1788" s="8" t="s">
        <v>801</v>
      </c>
      <c r="H1788" s="8" t="s">
        <v>915</v>
      </c>
    </row>
    <row r="1789" customFormat="false" ht="15" hidden="false" customHeight="false" outlineLevel="0" collapsed="false">
      <c r="A1789" s="8" t="s">
        <v>5617</v>
      </c>
      <c r="B1789" s="8" t="s">
        <v>5618</v>
      </c>
      <c r="C1789" s="8" t="n">
        <v>2007</v>
      </c>
      <c r="D1789" s="8" t="s">
        <v>58</v>
      </c>
      <c r="E1789" s="8" t="s">
        <v>5619</v>
      </c>
      <c r="F1789" s="8" t="s">
        <v>782</v>
      </c>
      <c r="G1789" s="8" t="s">
        <v>801</v>
      </c>
      <c r="H1789" s="8" t="s">
        <v>915</v>
      </c>
    </row>
    <row r="1790" customFormat="false" ht="15" hidden="false" customHeight="false" outlineLevel="0" collapsed="false">
      <c r="A1790" s="8" t="s">
        <v>770</v>
      </c>
      <c r="B1790" s="8" t="s">
        <v>772</v>
      </c>
      <c r="C1790" s="8" t="n">
        <v>2009</v>
      </c>
      <c r="D1790" s="8" t="s">
        <v>58</v>
      </c>
      <c r="E1790" s="8" t="s">
        <v>774</v>
      </c>
      <c r="F1790" s="8" t="s">
        <v>852</v>
      </c>
      <c r="G1790" s="8" t="s">
        <v>853</v>
      </c>
      <c r="H1790" s="8" t="s">
        <v>854</v>
      </c>
    </row>
    <row r="1791" customFormat="false" ht="15" hidden="false" customHeight="false" outlineLevel="0" collapsed="false">
      <c r="A1791" s="8" t="s">
        <v>5620</v>
      </c>
      <c r="B1791" s="8" t="s">
        <v>5621</v>
      </c>
      <c r="C1791" s="8" t="n">
        <v>2008</v>
      </c>
      <c r="D1791" s="8" t="s">
        <v>83</v>
      </c>
      <c r="E1791" s="8" t="s">
        <v>5622</v>
      </c>
      <c r="F1791" s="8" t="s">
        <v>782</v>
      </c>
      <c r="G1791" s="8" t="s">
        <v>801</v>
      </c>
      <c r="H1791" s="8" t="s">
        <v>802</v>
      </c>
    </row>
    <row r="1792" customFormat="false" ht="15" hidden="false" customHeight="false" outlineLevel="0" collapsed="false">
      <c r="A1792" s="8" t="s">
        <v>5623</v>
      </c>
      <c r="B1792" s="8" t="s">
        <v>5624</v>
      </c>
      <c r="C1792" s="8" t="n">
        <v>2007</v>
      </c>
      <c r="D1792" s="8" t="s">
        <v>58</v>
      </c>
      <c r="E1792" s="8" t="s">
        <v>5625</v>
      </c>
      <c r="F1792" s="8" t="s">
        <v>782</v>
      </c>
      <c r="G1792" s="8" t="s">
        <v>801</v>
      </c>
      <c r="H1792" s="8" t="s">
        <v>915</v>
      </c>
    </row>
    <row r="1793" customFormat="false" ht="15" hidden="false" customHeight="false" outlineLevel="0" collapsed="false">
      <c r="A1793" s="8" t="s">
        <v>5626</v>
      </c>
      <c r="B1793" s="8" t="s">
        <v>5627</v>
      </c>
      <c r="C1793" s="8" t="n">
        <v>2008</v>
      </c>
      <c r="D1793" s="8" t="s">
        <v>58</v>
      </c>
      <c r="E1793" s="8" t="s">
        <v>5628</v>
      </c>
      <c r="F1793" s="8" t="s">
        <v>782</v>
      </c>
      <c r="G1793" s="8" t="s">
        <v>801</v>
      </c>
      <c r="H1793" s="8" t="s">
        <v>915</v>
      </c>
    </row>
    <row r="1794" customFormat="false" ht="15" hidden="false" customHeight="false" outlineLevel="0" collapsed="false">
      <c r="A1794" s="8" t="s">
        <v>5629</v>
      </c>
      <c r="B1794" s="8" t="s">
        <v>5630</v>
      </c>
      <c r="C1794" s="8" t="n">
        <v>2008</v>
      </c>
      <c r="D1794" s="8" t="s">
        <v>58</v>
      </c>
      <c r="E1794" s="8" t="s">
        <v>5631</v>
      </c>
      <c r="F1794" s="8" t="s">
        <v>782</v>
      </c>
      <c r="G1794" s="8" t="s">
        <v>801</v>
      </c>
      <c r="H1794" s="8" t="s">
        <v>915</v>
      </c>
    </row>
    <row r="1795" customFormat="false" ht="15" hidden="false" customHeight="false" outlineLevel="0" collapsed="false">
      <c r="A1795" s="8" t="s">
        <v>5632</v>
      </c>
      <c r="B1795" s="8" t="s">
        <v>5633</v>
      </c>
      <c r="C1795" s="8" t="n">
        <v>2008</v>
      </c>
      <c r="D1795" s="8" t="s">
        <v>58</v>
      </c>
      <c r="E1795" s="8" t="s">
        <v>5634</v>
      </c>
      <c r="F1795" s="8" t="s">
        <v>782</v>
      </c>
      <c r="G1795" s="8" t="s">
        <v>783</v>
      </c>
      <c r="H1795" s="8" t="s">
        <v>784</v>
      </c>
    </row>
    <row r="1796" customFormat="false" ht="15" hidden="false" customHeight="false" outlineLevel="0" collapsed="false">
      <c r="A1796" s="8" t="s">
        <v>5635</v>
      </c>
      <c r="B1796" s="8" t="s">
        <v>5636</v>
      </c>
      <c r="C1796" s="8" t="n">
        <v>2007</v>
      </c>
      <c r="D1796" s="8" t="s">
        <v>58</v>
      </c>
      <c r="E1796" s="8" t="s">
        <v>5637</v>
      </c>
      <c r="F1796" s="8" t="s">
        <v>782</v>
      </c>
      <c r="G1796" s="8" t="s">
        <v>783</v>
      </c>
      <c r="H1796" s="8" t="s">
        <v>784</v>
      </c>
    </row>
    <row r="1797" customFormat="false" ht="15" hidden="false" customHeight="false" outlineLevel="0" collapsed="false">
      <c r="A1797" s="8" t="s">
        <v>5638</v>
      </c>
      <c r="B1797" s="8" t="s">
        <v>5639</v>
      </c>
      <c r="C1797" s="8" t="n">
        <v>2008</v>
      </c>
      <c r="D1797" s="8" t="s">
        <v>58</v>
      </c>
      <c r="E1797" s="8"/>
      <c r="F1797" s="8" t="s">
        <v>782</v>
      </c>
      <c r="G1797" s="8" t="s">
        <v>783</v>
      </c>
      <c r="H1797" s="8" t="s">
        <v>784</v>
      </c>
    </row>
    <row r="1798" customFormat="false" ht="15" hidden="false" customHeight="false" outlineLevel="0" collapsed="false">
      <c r="A1798" s="8" t="s">
        <v>5640</v>
      </c>
      <c r="B1798" s="8" t="s">
        <v>5641</v>
      </c>
      <c r="C1798" s="8" t="n">
        <v>2007</v>
      </c>
      <c r="D1798" s="8" t="s">
        <v>58</v>
      </c>
      <c r="E1798" s="8" t="s">
        <v>5642</v>
      </c>
      <c r="F1798" s="8" t="s">
        <v>782</v>
      </c>
      <c r="G1798" s="8" t="s">
        <v>801</v>
      </c>
      <c r="H1798" s="8" t="s">
        <v>915</v>
      </c>
    </row>
    <row r="1799" customFormat="false" ht="15" hidden="false" customHeight="false" outlineLevel="0" collapsed="false">
      <c r="A1799" s="8" t="s">
        <v>5643</v>
      </c>
      <c r="B1799" s="8" t="s">
        <v>5644</v>
      </c>
      <c r="C1799" s="8" t="n">
        <v>2007</v>
      </c>
      <c r="D1799" s="8" t="s">
        <v>58</v>
      </c>
      <c r="E1799" s="8"/>
      <c r="F1799" s="8" t="s">
        <v>782</v>
      </c>
      <c r="G1799" s="8" t="s">
        <v>783</v>
      </c>
      <c r="H1799" s="8" t="s">
        <v>784</v>
      </c>
    </row>
    <row r="1800" customFormat="false" ht="15" hidden="false" customHeight="false" outlineLevel="0" collapsed="false">
      <c r="A1800" s="8" t="s">
        <v>5645</v>
      </c>
      <c r="B1800" s="8" t="s">
        <v>5646</v>
      </c>
      <c r="C1800" s="8" t="n">
        <v>2009</v>
      </c>
      <c r="D1800" s="8" t="s">
        <v>83</v>
      </c>
      <c r="E1800" s="8" t="s">
        <v>5647</v>
      </c>
      <c r="F1800" s="8" t="s">
        <v>782</v>
      </c>
      <c r="G1800" s="8" t="s">
        <v>801</v>
      </c>
      <c r="H1800" s="8" t="s">
        <v>915</v>
      </c>
    </row>
    <row r="1801" customFormat="false" ht="15" hidden="false" customHeight="false" outlineLevel="0" collapsed="false">
      <c r="A1801" s="8" t="s">
        <v>5648</v>
      </c>
      <c r="B1801" s="8" t="s">
        <v>5649</v>
      </c>
      <c r="C1801" s="8" t="n">
        <v>2006</v>
      </c>
      <c r="D1801" s="8" t="s">
        <v>58</v>
      </c>
      <c r="E1801" s="8" t="s">
        <v>5650</v>
      </c>
      <c r="F1801" s="8" t="s">
        <v>782</v>
      </c>
      <c r="G1801" s="8" t="s">
        <v>801</v>
      </c>
      <c r="H1801" s="8" t="s">
        <v>915</v>
      </c>
    </row>
    <row r="1802" customFormat="false" ht="15" hidden="false" customHeight="false" outlineLevel="0" collapsed="false">
      <c r="A1802" s="8" t="s">
        <v>5651</v>
      </c>
      <c r="B1802" s="8" t="s">
        <v>5652</v>
      </c>
      <c r="C1802" s="8" t="n">
        <v>2008</v>
      </c>
      <c r="D1802" s="8" t="s">
        <v>58</v>
      </c>
      <c r="E1802" s="8" t="s">
        <v>5653</v>
      </c>
      <c r="F1802" s="8" t="s">
        <v>782</v>
      </c>
      <c r="G1802" s="8" t="s">
        <v>801</v>
      </c>
      <c r="H1802" s="8" t="s">
        <v>915</v>
      </c>
    </row>
    <row r="1803" customFormat="false" ht="15" hidden="false" customHeight="false" outlineLevel="0" collapsed="false">
      <c r="A1803" s="8" t="s">
        <v>5654</v>
      </c>
      <c r="B1803" s="8" t="s">
        <v>5655</v>
      </c>
      <c r="C1803" s="8" t="n">
        <v>2007</v>
      </c>
      <c r="D1803" s="8" t="s">
        <v>58</v>
      </c>
      <c r="E1803" s="8" t="s">
        <v>5656</v>
      </c>
      <c r="F1803" s="8" t="s">
        <v>782</v>
      </c>
      <c r="G1803" s="8" t="s">
        <v>801</v>
      </c>
      <c r="H1803" s="8" t="s">
        <v>915</v>
      </c>
    </row>
    <row r="1804" customFormat="false" ht="15" hidden="false" customHeight="false" outlineLevel="0" collapsed="false">
      <c r="A1804" s="8" t="s">
        <v>5657</v>
      </c>
      <c r="B1804" s="8" t="s">
        <v>5658</v>
      </c>
      <c r="C1804" s="8" t="n">
        <v>2008</v>
      </c>
      <c r="D1804" s="8" t="s">
        <v>83</v>
      </c>
      <c r="E1804" s="8" t="s">
        <v>5659</v>
      </c>
      <c r="F1804" s="8" t="s">
        <v>782</v>
      </c>
      <c r="G1804" s="8" t="s">
        <v>801</v>
      </c>
      <c r="H1804" s="8" t="s">
        <v>915</v>
      </c>
    </row>
    <row r="1805" customFormat="false" ht="15" hidden="false" customHeight="false" outlineLevel="0" collapsed="false">
      <c r="A1805" s="8" t="s">
        <v>5660</v>
      </c>
      <c r="B1805" s="8" t="s">
        <v>5661</v>
      </c>
      <c r="C1805" s="8" t="n">
        <v>2008</v>
      </c>
      <c r="D1805" s="8" t="s">
        <v>58</v>
      </c>
      <c r="E1805" s="8" t="s">
        <v>5662</v>
      </c>
      <c r="F1805" s="8" t="s">
        <v>782</v>
      </c>
      <c r="G1805" s="8" t="s">
        <v>801</v>
      </c>
      <c r="H1805" s="8" t="s">
        <v>915</v>
      </c>
    </row>
    <row r="1806" customFormat="false" ht="15" hidden="false" customHeight="false" outlineLevel="0" collapsed="false">
      <c r="A1806" s="8" t="s">
        <v>5663</v>
      </c>
      <c r="B1806" s="8" t="s">
        <v>5664</v>
      </c>
      <c r="C1806" s="8" t="n">
        <v>2009</v>
      </c>
      <c r="D1806" s="8" t="s">
        <v>58</v>
      </c>
      <c r="E1806" s="8" t="s">
        <v>5665</v>
      </c>
      <c r="F1806" s="8" t="s">
        <v>782</v>
      </c>
      <c r="G1806" s="8" t="s">
        <v>801</v>
      </c>
      <c r="H1806" s="8" t="s">
        <v>915</v>
      </c>
    </row>
    <row r="1807" customFormat="false" ht="15" hidden="false" customHeight="false" outlineLevel="0" collapsed="false">
      <c r="A1807" s="8" t="s">
        <v>5666</v>
      </c>
      <c r="B1807" s="8" t="s">
        <v>5667</v>
      </c>
      <c r="C1807" s="8" t="n">
        <v>2008</v>
      </c>
      <c r="D1807" s="8" t="s">
        <v>58</v>
      </c>
      <c r="E1807" s="8" t="s">
        <v>5668</v>
      </c>
      <c r="F1807" s="8" t="s">
        <v>782</v>
      </c>
      <c r="G1807" s="8" t="s">
        <v>801</v>
      </c>
      <c r="H1807" s="8" t="s">
        <v>915</v>
      </c>
    </row>
    <row r="1808" customFormat="false" ht="15" hidden="false" customHeight="false" outlineLevel="0" collapsed="false">
      <c r="A1808" s="8" t="s">
        <v>5669</v>
      </c>
      <c r="B1808" s="8" t="s">
        <v>5670</v>
      </c>
      <c r="C1808" s="8" t="n">
        <v>2008</v>
      </c>
      <c r="D1808" s="8" t="s">
        <v>83</v>
      </c>
      <c r="E1808" s="8"/>
      <c r="F1808" s="8" t="s">
        <v>782</v>
      </c>
      <c r="G1808" s="8" t="s">
        <v>801</v>
      </c>
      <c r="H1808" s="8" t="s">
        <v>915</v>
      </c>
    </row>
    <row r="1809" customFormat="false" ht="15" hidden="false" customHeight="false" outlineLevel="0" collapsed="false">
      <c r="A1809" s="8" t="s">
        <v>5671</v>
      </c>
      <c r="B1809" s="8" t="s">
        <v>5672</v>
      </c>
      <c r="C1809" s="8" t="n">
        <v>2007</v>
      </c>
      <c r="D1809" s="8" t="s">
        <v>58</v>
      </c>
      <c r="E1809" s="8"/>
      <c r="F1809" s="8" t="s">
        <v>782</v>
      </c>
      <c r="G1809" s="8" t="s">
        <v>783</v>
      </c>
      <c r="H1809" s="8" t="s">
        <v>784</v>
      </c>
    </row>
    <row r="1810" customFormat="false" ht="15" hidden="false" customHeight="false" outlineLevel="0" collapsed="false">
      <c r="A1810" s="8" t="s">
        <v>5673</v>
      </c>
      <c r="B1810" s="8" t="s">
        <v>5674</v>
      </c>
      <c r="C1810" s="8" t="n">
        <v>2007</v>
      </c>
      <c r="D1810" s="8" t="s">
        <v>58</v>
      </c>
      <c r="E1810" s="8" t="s">
        <v>5675</v>
      </c>
      <c r="F1810" s="8" t="s">
        <v>782</v>
      </c>
      <c r="G1810" s="8" t="s">
        <v>801</v>
      </c>
      <c r="H1810" s="8" t="s">
        <v>915</v>
      </c>
    </row>
    <row r="1811" customFormat="false" ht="15" hidden="false" customHeight="false" outlineLevel="0" collapsed="false">
      <c r="A1811" s="8" t="s">
        <v>5676</v>
      </c>
      <c r="B1811" s="8" t="s">
        <v>5677</v>
      </c>
      <c r="C1811" s="8" t="n">
        <v>2008</v>
      </c>
      <c r="D1811" s="8" t="s">
        <v>58</v>
      </c>
      <c r="E1811" s="8" t="s">
        <v>5678</v>
      </c>
      <c r="F1811" s="8" t="s">
        <v>782</v>
      </c>
      <c r="G1811" s="8" t="s">
        <v>801</v>
      </c>
      <c r="H1811" s="8" t="s">
        <v>915</v>
      </c>
    </row>
    <row r="1812" customFormat="false" ht="15" hidden="false" customHeight="false" outlineLevel="0" collapsed="false">
      <c r="A1812" s="8" t="s">
        <v>5679</v>
      </c>
      <c r="B1812" s="8" t="s">
        <v>5680</v>
      </c>
      <c r="C1812" s="8" t="n">
        <v>2009</v>
      </c>
      <c r="D1812" s="8" t="s">
        <v>58</v>
      </c>
      <c r="E1812" s="8"/>
      <c r="F1812" s="8" t="s">
        <v>782</v>
      </c>
      <c r="G1812" s="8" t="s">
        <v>783</v>
      </c>
      <c r="H1812" s="8" t="s">
        <v>784</v>
      </c>
    </row>
    <row r="1813" customFormat="false" ht="15" hidden="false" customHeight="false" outlineLevel="0" collapsed="false">
      <c r="A1813" s="8" t="s">
        <v>5681</v>
      </c>
      <c r="B1813" s="8" t="s">
        <v>5682</v>
      </c>
      <c r="C1813" s="8" t="n">
        <v>2009</v>
      </c>
      <c r="D1813" s="8" t="s">
        <v>58</v>
      </c>
      <c r="E1813" s="8" t="s">
        <v>5683</v>
      </c>
      <c r="F1813" s="8" t="s">
        <v>782</v>
      </c>
      <c r="G1813" s="8" t="s">
        <v>801</v>
      </c>
      <c r="H1813" s="8" t="s">
        <v>802</v>
      </c>
    </row>
    <row r="1814" customFormat="false" ht="15" hidden="false" customHeight="false" outlineLevel="0" collapsed="false">
      <c r="A1814" s="8" t="s">
        <v>5684</v>
      </c>
      <c r="B1814" s="8" t="s">
        <v>5685</v>
      </c>
      <c r="C1814" s="8" t="n">
        <v>2008</v>
      </c>
      <c r="D1814" s="8" t="s">
        <v>58</v>
      </c>
      <c r="E1814" s="8"/>
      <c r="F1814" s="8" t="s">
        <v>782</v>
      </c>
      <c r="G1814" s="8" t="s">
        <v>966</v>
      </c>
      <c r="H1814" s="8" t="s">
        <v>967</v>
      </c>
    </row>
    <row r="1815" customFormat="false" ht="15" hidden="false" customHeight="false" outlineLevel="0" collapsed="false">
      <c r="A1815" s="8" t="s">
        <v>5686</v>
      </c>
      <c r="B1815" s="8" t="s">
        <v>5687</v>
      </c>
      <c r="C1815" s="8" t="n">
        <v>2007</v>
      </c>
      <c r="D1815" s="8" t="s">
        <v>58</v>
      </c>
      <c r="E1815" s="8" t="s">
        <v>5688</v>
      </c>
      <c r="F1815" s="8" t="s">
        <v>782</v>
      </c>
      <c r="G1815" s="8" t="s">
        <v>801</v>
      </c>
      <c r="H1815" s="8" t="s">
        <v>915</v>
      </c>
    </row>
    <row r="1816" customFormat="false" ht="15" hidden="false" customHeight="false" outlineLevel="0" collapsed="false">
      <c r="A1816" s="8" t="s">
        <v>5689</v>
      </c>
      <c r="B1816" s="8" t="s">
        <v>5690</v>
      </c>
      <c r="C1816" s="8" t="n">
        <v>2006</v>
      </c>
      <c r="D1816" s="8" t="s">
        <v>83</v>
      </c>
      <c r="E1816" s="8" t="s">
        <v>5691</v>
      </c>
      <c r="F1816" s="8" t="s">
        <v>782</v>
      </c>
      <c r="G1816" s="8" t="s">
        <v>783</v>
      </c>
      <c r="H1816" s="8" t="s">
        <v>784</v>
      </c>
    </row>
    <row r="1817" customFormat="false" ht="15" hidden="false" customHeight="false" outlineLevel="0" collapsed="false">
      <c r="A1817" s="8" t="s">
        <v>5692</v>
      </c>
      <c r="B1817" s="8" t="s">
        <v>5693</v>
      </c>
      <c r="C1817" s="8" t="n">
        <v>2006</v>
      </c>
      <c r="D1817" s="8" t="s">
        <v>58</v>
      </c>
      <c r="E1817" s="8" t="s">
        <v>5694</v>
      </c>
      <c r="F1817" s="8" t="s">
        <v>782</v>
      </c>
      <c r="G1817" s="8" t="s">
        <v>801</v>
      </c>
      <c r="H1817" s="8" t="s">
        <v>915</v>
      </c>
    </row>
    <row r="1818" customFormat="false" ht="15" hidden="false" customHeight="false" outlineLevel="0" collapsed="false">
      <c r="A1818" s="8" t="s">
        <v>5695</v>
      </c>
      <c r="B1818" s="8" t="s">
        <v>5696</v>
      </c>
      <c r="C1818" s="8" t="n">
        <v>2008</v>
      </c>
      <c r="D1818" s="8" t="s">
        <v>58</v>
      </c>
      <c r="E1818" s="8"/>
      <c r="F1818" s="8" t="s">
        <v>782</v>
      </c>
      <c r="G1818" s="8" t="s">
        <v>783</v>
      </c>
      <c r="H1818" s="8" t="s">
        <v>784</v>
      </c>
    </row>
    <row r="1819" customFormat="false" ht="15" hidden="false" customHeight="false" outlineLevel="0" collapsed="false">
      <c r="A1819" s="8" t="s">
        <v>5697</v>
      </c>
      <c r="B1819" s="8" t="s">
        <v>5698</v>
      </c>
      <c r="C1819" s="8" t="n">
        <v>2008</v>
      </c>
      <c r="D1819" s="8" t="s">
        <v>58</v>
      </c>
      <c r="E1819" s="8" t="s">
        <v>5699</v>
      </c>
      <c r="F1819" s="8" t="s">
        <v>782</v>
      </c>
      <c r="G1819" s="8" t="s">
        <v>801</v>
      </c>
      <c r="H1819" s="8" t="s">
        <v>915</v>
      </c>
    </row>
    <row r="1820" customFormat="false" ht="15" hidden="false" customHeight="false" outlineLevel="0" collapsed="false">
      <c r="A1820" s="8" t="s">
        <v>5700</v>
      </c>
      <c r="B1820" s="8" t="s">
        <v>5701</v>
      </c>
      <c r="C1820" s="8" t="n">
        <v>2008</v>
      </c>
      <c r="D1820" s="8" t="s">
        <v>58</v>
      </c>
      <c r="E1820" s="8" t="s">
        <v>5702</v>
      </c>
      <c r="F1820" s="8" t="s">
        <v>782</v>
      </c>
      <c r="G1820" s="8" t="s">
        <v>801</v>
      </c>
      <c r="H1820" s="8" t="s">
        <v>915</v>
      </c>
    </row>
    <row r="1821" customFormat="false" ht="15" hidden="false" customHeight="false" outlineLevel="0" collapsed="false">
      <c r="A1821" s="8" t="s">
        <v>5703</v>
      </c>
      <c r="B1821" s="8" t="s">
        <v>5704</v>
      </c>
      <c r="C1821" s="8" t="n">
        <v>2004</v>
      </c>
      <c r="D1821" s="8" t="s">
        <v>58</v>
      </c>
      <c r="E1821" s="8"/>
      <c r="F1821" s="8" t="s">
        <v>782</v>
      </c>
      <c r="G1821" s="8" t="s">
        <v>783</v>
      </c>
      <c r="H1821" s="8" t="s">
        <v>784</v>
      </c>
    </row>
    <row r="1822" customFormat="false" ht="15" hidden="false" customHeight="false" outlineLevel="0" collapsed="false">
      <c r="A1822" s="8" t="s">
        <v>5705</v>
      </c>
      <c r="B1822" s="8" t="s">
        <v>5706</v>
      </c>
      <c r="C1822" s="8" t="n">
        <v>2007</v>
      </c>
      <c r="D1822" s="8" t="s">
        <v>58</v>
      </c>
      <c r="E1822" s="8" t="s">
        <v>5707</v>
      </c>
      <c r="F1822" s="8" t="s">
        <v>782</v>
      </c>
      <c r="G1822" s="8" t="s">
        <v>783</v>
      </c>
      <c r="H1822" s="8" t="s">
        <v>784</v>
      </c>
    </row>
    <row r="1823" customFormat="false" ht="15" hidden="false" customHeight="false" outlineLevel="0" collapsed="false">
      <c r="A1823" s="8" t="s">
        <v>5708</v>
      </c>
      <c r="B1823" s="8" t="s">
        <v>5709</v>
      </c>
      <c r="C1823" s="8" t="n">
        <v>2008</v>
      </c>
      <c r="D1823" s="8" t="s">
        <v>58</v>
      </c>
      <c r="E1823" s="8" t="s">
        <v>5710</v>
      </c>
      <c r="F1823" s="8" t="s">
        <v>782</v>
      </c>
      <c r="G1823" s="8" t="s">
        <v>783</v>
      </c>
      <c r="H1823" s="8" t="s">
        <v>784</v>
      </c>
    </row>
    <row r="1824" customFormat="false" ht="15" hidden="false" customHeight="false" outlineLevel="0" collapsed="false">
      <c r="A1824" s="8" t="s">
        <v>5711</v>
      </c>
      <c r="B1824" s="8" t="s">
        <v>5712</v>
      </c>
      <c r="C1824" s="8" t="n">
        <v>2006</v>
      </c>
      <c r="D1824" s="8" t="s">
        <v>58</v>
      </c>
      <c r="E1824" s="8" t="s">
        <v>5713</v>
      </c>
      <c r="F1824" s="8" t="s">
        <v>782</v>
      </c>
      <c r="G1824" s="8" t="s">
        <v>783</v>
      </c>
      <c r="H1824" s="8" t="s">
        <v>784</v>
      </c>
    </row>
    <row r="1825" customFormat="false" ht="15" hidden="false" customHeight="false" outlineLevel="0" collapsed="false">
      <c r="A1825" s="8" t="s">
        <v>5714</v>
      </c>
      <c r="B1825" s="8" t="s">
        <v>5715</v>
      </c>
      <c r="C1825" s="8" t="n">
        <v>2006</v>
      </c>
      <c r="D1825" s="8" t="s">
        <v>58</v>
      </c>
      <c r="E1825" s="8" t="s">
        <v>5716</v>
      </c>
      <c r="F1825" s="8" t="s">
        <v>782</v>
      </c>
      <c r="G1825" s="8" t="s">
        <v>783</v>
      </c>
      <c r="H1825" s="8" t="s">
        <v>784</v>
      </c>
    </row>
    <row r="1826" customFormat="false" ht="15" hidden="false" customHeight="false" outlineLevel="0" collapsed="false">
      <c r="A1826" s="8" t="s">
        <v>5717</v>
      </c>
      <c r="B1826" s="8" t="s">
        <v>5718</v>
      </c>
      <c r="C1826" s="8" t="n">
        <v>2008</v>
      </c>
      <c r="D1826" s="8" t="s">
        <v>58</v>
      </c>
      <c r="E1826" s="8" t="s">
        <v>5719</v>
      </c>
      <c r="F1826" s="8" t="s">
        <v>782</v>
      </c>
      <c r="G1826" s="8" t="s">
        <v>801</v>
      </c>
      <c r="H1826" s="8" t="s">
        <v>915</v>
      </c>
    </row>
    <row r="1827" customFormat="false" ht="15" hidden="false" customHeight="false" outlineLevel="0" collapsed="false">
      <c r="A1827" s="8" t="s">
        <v>5720</v>
      </c>
      <c r="B1827" s="8" t="s">
        <v>5721</v>
      </c>
      <c r="C1827" s="8" t="n">
        <v>2007</v>
      </c>
      <c r="D1827" s="8" t="s">
        <v>58</v>
      </c>
      <c r="E1827" s="8" t="s">
        <v>5722</v>
      </c>
      <c r="F1827" s="8" t="s">
        <v>782</v>
      </c>
      <c r="G1827" s="8" t="s">
        <v>801</v>
      </c>
      <c r="H1827" s="8" t="s">
        <v>915</v>
      </c>
    </row>
    <row r="1828" customFormat="false" ht="15" hidden="false" customHeight="false" outlineLevel="0" collapsed="false">
      <c r="A1828" s="8" t="s">
        <v>5723</v>
      </c>
      <c r="B1828" s="8" t="s">
        <v>5724</v>
      </c>
      <c r="C1828" s="8" t="n">
        <v>2008</v>
      </c>
      <c r="D1828" s="8" t="s">
        <v>83</v>
      </c>
      <c r="E1828" s="8" t="s">
        <v>5725</v>
      </c>
      <c r="F1828" s="8" t="s">
        <v>782</v>
      </c>
      <c r="G1828" s="8" t="s">
        <v>801</v>
      </c>
      <c r="H1828" s="8" t="s">
        <v>915</v>
      </c>
    </row>
    <row r="1829" customFormat="false" ht="15" hidden="false" customHeight="false" outlineLevel="0" collapsed="false">
      <c r="A1829" s="8" t="s">
        <v>5726</v>
      </c>
      <c r="B1829" s="8" t="s">
        <v>5727</v>
      </c>
      <c r="C1829" s="8" t="n">
        <v>2006</v>
      </c>
      <c r="D1829" s="8" t="s">
        <v>58</v>
      </c>
      <c r="E1829" s="8" t="s">
        <v>5728</v>
      </c>
      <c r="F1829" s="8" t="s">
        <v>782</v>
      </c>
      <c r="G1829" s="8" t="s">
        <v>801</v>
      </c>
      <c r="H1829" s="8" t="s">
        <v>915</v>
      </c>
    </row>
    <row r="1830" customFormat="false" ht="15" hidden="false" customHeight="false" outlineLevel="0" collapsed="false">
      <c r="A1830" s="8" t="s">
        <v>5729</v>
      </c>
      <c r="B1830" s="8" t="s">
        <v>5730</v>
      </c>
      <c r="C1830" s="8" t="n">
        <v>2008</v>
      </c>
      <c r="D1830" s="8" t="s">
        <v>58</v>
      </c>
      <c r="E1830" s="8" t="s">
        <v>5731</v>
      </c>
      <c r="F1830" s="8" t="s">
        <v>782</v>
      </c>
      <c r="G1830" s="8" t="s">
        <v>801</v>
      </c>
      <c r="H1830" s="8" t="s">
        <v>915</v>
      </c>
    </row>
    <row r="1831" customFormat="false" ht="15" hidden="false" customHeight="false" outlineLevel="0" collapsed="false">
      <c r="A1831" s="8" t="s">
        <v>5732</v>
      </c>
      <c r="B1831" s="8" t="s">
        <v>5733</v>
      </c>
      <c r="C1831" s="8" t="n">
        <v>2008</v>
      </c>
      <c r="D1831" s="8" t="s">
        <v>58</v>
      </c>
      <c r="E1831" s="8" t="s">
        <v>5734</v>
      </c>
      <c r="F1831" s="8" t="s">
        <v>782</v>
      </c>
      <c r="G1831" s="8" t="s">
        <v>801</v>
      </c>
      <c r="H1831" s="8" t="s">
        <v>915</v>
      </c>
    </row>
    <row r="1832" customFormat="false" ht="15" hidden="false" customHeight="false" outlineLevel="0" collapsed="false">
      <c r="A1832" s="8" t="s">
        <v>5735</v>
      </c>
      <c r="B1832" s="8" t="s">
        <v>5736</v>
      </c>
      <c r="C1832" s="8" t="n">
        <v>2008</v>
      </c>
      <c r="D1832" s="8" t="s">
        <v>58</v>
      </c>
      <c r="E1832" s="8" t="s">
        <v>5737</v>
      </c>
      <c r="F1832" s="8" t="s">
        <v>782</v>
      </c>
      <c r="G1832" s="8" t="s">
        <v>783</v>
      </c>
      <c r="H1832" s="8" t="s">
        <v>784</v>
      </c>
    </row>
    <row r="1833" customFormat="false" ht="15" hidden="false" customHeight="false" outlineLevel="0" collapsed="false">
      <c r="A1833" s="8" t="s">
        <v>5738</v>
      </c>
      <c r="B1833" s="8" t="s">
        <v>5739</v>
      </c>
      <c r="C1833" s="8" t="n">
        <v>2008</v>
      </c>
      <c r="D1833" s="8" t="s">
        <v>58</v>
      </c>
      <c r="E1833" s="8" t="s">
        <v>5740</v>
      </c>
      <c r="F1833" s="8" t="s">
        <v>782</v>
      </c>
      <c r="G1833" s="8" t="s">
        <v>801</v>
      </c>
      <c r="H1833" s="8" t="s">
        <v>915</v>
      </c>
    </row>
    <row r="1834" customFormat="false" ht="15" hidden="false" customHeight="false" outlineLevel="0" collapsed="false">
      <c r="A1834" s="8" t="s">
        <v>5741</v>
      </c>
      <c r="B1834" s="8" t="s">
        <v>5742</v>
      </c>
      <c r="C1834" s="8" t="n">
        <v>2006</v>
      </c>
      <c r="D1834" s="8" t="s">
        <v>58</v>
      </c>
      <c r="E1834" s="8" t="s">
        <v>5743</v>
      </c>
      <c r="F1834" s="8" t="s">
        <v>782</v>
      </c>
      <c r="G1834" s="8" t="s">
        <v>801</v>
      </c>
      <c r="H1834" s="8" t="s">
        <v>915</v>
      </c>
    </row>
    <row r="1835" customFormat="false" ht="15" hidden="false" customHeight="false" outlineLevel="0" collapsed="false">
      <c r="A1835" s="8" t="s">
        <v>5744</v>
      </c>
      <c r="B1835" s="8" t="s">
        <v>5745</v>
      </c>
      <c r="C1835" s="8" t="n">
        <v>2005</v>
      </c>
      <c r="D1835" s="8" t="s">
        <v>83</v>
      </c>
      <c r="E1835" s="8" t="s">
        <v>5746</v>
      </c>
      <c r="F1835" s="8" t="s">
        <v>782</v>
      </c>
      <c r="G1835" s="8" t="s">
        <v>783</v>
      </c>
      <c r="H1835" s="8" t="s">
        <v>784</v>
      </c>
    </row>
    <row r="1836" customFormat="false" ht="15" hidden="false" customHeight="false" outlineLevel="0" collapsed="false">
      <c r="A1836" s="8" t="s">
        <v>5747</v>
      </c>
      <c r="B1836" s="8" t="s">
        <v>5748</v>
      </c>
      <c r="C1836" s="8" t="n">
        <v>2007</v>
      </c>
      <c r="D1836" s="8" t="s">
        <v>58</v>
      </c>
      <c r="E1836" s="8" t="s">
        <v>5749</v>
      </c>
      <c r="F1836" s="8" t="s">
        <v>782</v>
      </c>
      <c r="G1836" s="8" t="s">
        <v>801</v>
      </c>
      <c r="H1836" s="8" t="s">
        <v>915</v>
      </c>
    </row>
    <row r="1837" customFormat="false" ht="15" hidden="false" customHeight="false" outlineLevel="0" collapsed="false">
      <c r="A1837" s="8" t="s">
        <v>5750</v>
      </c>
      <c r="B1837" s="8" t="s">
        <v>5751</v>
      </c>
      <c r="C1837" s="8" t="n">
        <v>2007</v>
      </c>
      <c r="D1837" s="8" t="s">
        <v>58</v>
      </c>
      <c r="E1837" s="8" t="s">
        <v>5752</v>
      </c>
      <c r="F1837" s="8" t="s">
        <v>782</v>
      </c>
      <c r="G1837" s="8" t="s">
        <v>801</v>
      </c>
      <c r="H1837" s="8" t="s">
        <v>915</v>
      </c>
    </row>
    <row r="1838" customFormat="false" ht="15" hidden="false" customHeight="false" outlineLevel="0" collapsed="false">
      <c r="A1838" s="8" t="s">
        <v>5753</v>
      </c>
      <c r="B1838" s="8" t="s">
        <v>5754</v>
      </c>
      <c r="C1838" s="8" t="n">
        <v>2008</v>
      </c>
      <c r="D1838" s="8" t="s">
        <v>58</v>
      </c>
      <c r="E1838" s="8" t="s">
        <v>5755</v>
      </c>
      <c r="F1838" s="8" t="s">
        <v>782</v>
      </c>
      <c r="G1838" s="8" t="s">
        <v>801</v>
      </c>
      <c r="H1838" s="8" t="s">
        <v>915</v>
      </c>
    </row>
    <row r="1839" customFormat="false" ht="15" hidden="false" customHeight="false" outlineLevel="0" collapsed="false">
      <c r="A1839" s="8" t="s">
        <v>5756</v>
      </c>
      <c r="B1839" s="8" t="s">
        <v>5757</v>
      </c>
      <c r="C1839" s="8" t="n">
        <v>2005</v>
      </c>
      <c r="D1839" s="8" t="s">
        <v>83</v>
      </c>
      <c r="E1839" s="8" t="s">
        <v>5758</v>
      </c>
      <c r="F1839" s="8" t="s">
        <v>782</v>
      </c>
      <c r="G1839" s="8" t="s">
        <v>783</v>
      </c>
      <c r="H1839" s="8" t="s">
        <v>784</v>
      </c>
    </row>
    <row r="1840" customFormat="false" ht="15" hidden="false" customHeight="false" outlineLevel="0" collapsed="false">
      <c r="A1840" s="8" t="s">
        <v>5759</v>
      </c>
      <c r="B1840" s="8" t="s">
        <v>5760</v>
      </c>
      <c r="C1840" s="8" t="n">
        <v>2006</v>
      </c>
      <c r="D1840" s="8" t="s">
        <v>58</v>
      </c>
      <c r="E1840" s="8" t="s">
        <v>5761</v>
      </c>
      <c r="F1840" s="8" t="s">
        <v>782</v>
      </c>
      <c r="G1840" s="8" t="s">
        <v>801</v>
      </c>
      <c r="H1840" s="8" t="s">
        <v>915</v>
      </c>
    </row>
    <row r="1841" customFormat="false" ht="15" hidden="false" customHeight="false" outlineLevel="0" collapsed="false">
      <c r="A1841" s="8" t="s">
        <v>5762</v>
      </c>
      <c r="B1841" s="8" t="s">
        <v>5763</v>
      </c>
      <c r="C1841" s="8" t="n">
        <v>2008</v>
      </c>
      <c r="D1841" s="8" t="s">
        <v>58</v>
      </c>
      <c r="E1841" s="8" t="s">
        <v>5764</v>
      </c>
      <c r="F1841" s="8" t="s">
        <v>782</v>
      </c>
      <c r="G1841" s="8" t="s">
        <v>801</v>
      </c>
      <c r="H1841" s="8" t="s">
        <v>915</v>
      </c>
    </row>
    <row r="1842" customFormat="false" ht="15" hidden="false" customHeight="false" outlineLevel="0" collapsed="false">
      <c r="A1842" s="8" t="s">
        <v>5765</v>
      </c>
      <c r="B1842" s="8" t="s">
        <v>5766</v>
      </c>
      <c r="C1842" s="8" t="n">
        <v>2008</v>
      </c>
      <c r="D1842" s="8" t="s">
        <v>58</v>
      </c>
      <c r="E1842" s="8" t="s">
        <v>5767</v>
      </c>
      <c r="F1842" s="8" t="s">
        <v>782</v>
      </c>
      <c r="G1842" s="8" t="s">
        <v>801</v>
      </c>
      <c r="H1842" s="8" t="s">
        <v>802</v>
      </c>
    </row>
    <row r="1843" customFormat="false" ht="15" hidden="false" customHeight="false" outlineLevel="0" collapsed="false">
      <c r="A1843" s="8" t="s">
        <v>5768</v>
      </c>
      <c r="B1843" s="8" t="s">
        <v>5769</v>
      </c>
      <c r="C1843" s="8" t="n">
        <v>2009</v>
      </c>
      <c r="D1843" s="8" t="s">
        <v>58</v>
      </c>
      <c r="E1843" s="8"/>
      <c r="F1843" s="8" t="s">
        <v>782</v>
      </c>
      <c r="G1843" s="8" t="s">
        <v>801</v>
      </c>
      <c r="H1843" s="8" t="s">
        <v>915</v>
      </c>
    </row>
    <row r="1844" customFormat="false" ht="15" hidden="false" customHeight="false" outlineLevel="0" collapsed="false">
      <c r="A1844" s="8" t="s">
        <v>5770</v>
      </c>
      <c r="B1844" s="8" t="s">
        <v>5771</v>
      </c>
      <c r="C1844" s="8" t="n">
        <v>2008</v>
      </c>
      <c r="D1844" s="8" t="s">
        <v>58</v>
      </c>
      <c r="E1844" s="8" t="s">
        <v>5772</v>
      </c>
      <c r="F1844" s="8" t="s">
        <v>782</v>
      </c>
      <c r="G1844" s="8" t="s">
        <v>801</v>
      </c>
      <c r="H1844" s="8" t="s">
        <v>915</v>
      </c>
    </row>
    <row r="1845" customFormat="false" ht="15" hidden="false" customHeight="false" outlineLevel="0" collapsed="false">
      <c r="A1845" s="8" t="s">
        <v>5773</v>
      </c>
      <c r="B1845" s="8" t="s">
        <v>5774</v>
      </c>
      <c r="C1845" s="8" t="n">
        <v>2006</v>
      </c>
      <c r="D1845" s="8" t="s">
        <v>58</v>
      </c>
      <c r="E1845" s="8" t="s">
        <v>5775</v>
      </c>
      <c r="F1845" s="8" t="s">
        <v>782</v>
      </c>
      <c r="G1845" s="8" t="s">
        <v>801</v>
      </c>
      <c r="H1845" s="8" t="s">
        <v>915</v>
      </c>
    </row>
    <row r="1846" customFormat="false" ht="15" hidden="false" customHeight="false" outlineLevel="0" collapsed="false">
      <c r="A1846" s="8" t="s">
        <v>5776</v>
      </c>
      <c r="B1846" s="8" t="s">
        <v>5777</v>
      </c>
      <c r="C1846" s="8" t="n">
        <v>2009</v>
      </c>
      <c r="D1846" s="8" t="s">
        <v>83</v>
      </c>
      <c r="E1846" s="8" t="s">
        <v>5778</v>
      </c>
      <c r="F1846" s="8" t="s">
        <v>782</v>
      </c>
      <c r="G1846" s="8" t="s">
        <v>801</v>
      </c>
      <c r="H1846" s="8" t="s">
        <v>915</v>
      </c>
    </row>
    <row r="1847" customFormat="false" ht="15" hidden="false" customHeight="false" outlineLevel="0" collapsed="false">
      <c r="A1847" s="8" t="s">
        <v>5779</v>
      </c>
      <c r="B1847" s="8" t="s">
        <v>5780</v>
      </c>
      <c r="C1847" s="8" t="n">
        <v>2009</v>
      </c>
      <c r="D1847" s="8" t="s">
        <v>58</v>
      </c>
      <c r="E1847" s="8" t="s">
        <v>5781</v>
      </c>
      <c r="F1847" s="8" t="s">
        <v>782</v>
      </c>
      <c r="G1847" s="8" t="s">
        <v>801</v>
      </c>
      <c r="H1847" s="8" t="s">
        <v>915</v>
      </c>
    </row>
    <row r="1848" customFormat="false" ht="15" hidden="false" customHeight="false" outlineLevel="0" collapsed="false">
      <c r="A1848" s="8" t="s">
        <v>5782</v>
      </c>
      <c r="B1848" s="8" t="s">
        <v>5783</v>
      </c>
      <c r="C1848" s="8" t="n">
        <v>2007</v>
      </c>
      <c r="D1848" s="8" t="s">
        <v>58</v>
      </c>
      <c r="E1848" s="8" t="s">
        <v>5784</v>
      </c>
      <c r="F1848" s="8" t="s">
        <v>782</v>
      </c>
      <c r="G1848" s="8" t="s">
        <v>801</v>
      </c>
      <c r="H1848" s="8" t="s">
        <v>915</v>
      </c>
    </row>
    <row r="1849" customFormat="false" ht="15" hidden="false" customHeight="false" outlineLevel="0" collapsed="false">
      <c r="A1849" s="8" t="s">
        <v>5785</v>
      </c>
      <c r="B1849" s="8" t="s">
        <v>5786</v>
      </c>
      <c r="C1849" s="8" t="n">
        <v>2008</v>
      </c>
      <c r="D1849" s="8" t="s">
        <v>58</v>
      </c>
      <c r="E1849" s="8" t="s">
        <v>5787</v>
      </c>
      <c r="F1849" s="8" t="s">
        <v>782</v>
      </c>
      <c r="G1849" s="8" t="s">
        <v>801</v>
      </c>
      <c r="H1849" s="8" t="s">
        <v>915</v>
      </c>
    </row>
    <row r="1850" customFormat="false" ht="15" hidden="false" customHeight="false" outlineLevel="0" collapsed="false">
      <c r="A1850" s="8" t="s">
        <v>5788</v>
      </c>
      <c r="B1850" s="8" t="s">
        <v>5789</v>
      </c>
      <c r="C1850" s="8" t="n">
        <v>2007</v>
      </c>
      <c r="D1850" s="8" t="s">
        <v>58</v>
      </c>
      <c r="E1850" s="8" t="s">
        <v>5790</v>
      </c>
      <c r="F1850" s="8" t="s">
        <v>782</v>
      </c>
      <c r="G1850" s="8" t="s">
        <v>783</v>
      </c>
      <c r="H1850" s="8" t="s">
        <v>784</v>
      </c>
    </row>
    <row r="1851" customFormat="false" ht="15" hidden="false" customHeight="false" outlineLevel="0" collapsed="false">
      <c r="A1851" s="8" t="s">
        <v>5791</v>
      </c>
      <c r="B1851" s="8" t="s">
        <v>5792</v>
      </c>
      <c r="C1851" s="8" t="n">
        <v>2008</v>
      </c>
      <c r="D1851" s="8" t="s">
        <v>58</v>
      </c>
      <c r="E1851" s="8" t="s">
        <v>5793</v>
      </c>
      <c r="F1851" s="8" t="s">
        <v>782</v>
      </c>
      <c r="G1851" s="8" t="s">
        <v>801</v>
      </c>
      <c r="H1851" s="8" t="s">
        <v>915</v>
      </c>
    </row>
    <row r="1852" customFormat="false" ht="15" hidden="false" customHeight="false" outlineLevel="0" collapsed="false">
      <c r="A1852" s="8" t="s">
        <v>5794</v>
      </c>
      <c r="B1852" s="8" t="s">
        <v>5795</v>
      </c>
      <c r="C1852" s="8" t="n">
        <v>2007</v>
      </c>
      <c r="D1852" s="8" t="s">
        <v>58</v>
      </c>
      <c r="E1852" s="8" t="s">
        <v>5796</v>
      </c>
      <c r="F1852" s="8" t="s">
        <v>782</v>
      </c>
      <c r="G1852" s="8" t="s">
        <v>801</v>
      </c>
      <c r="H1852" s="8" t="s">
        <v>915</v>
      </c>
    </row>
    <row r="1853" customFormat="false" ht="15" hidden="false" customHeight="false" outlineLevel="0" collapsed="false">
      <c r="A1853" s="8" t="s">
        <v>5797</v>
      </c>
      <c r="B1853" s="8" t="s">
        <v>5798</v>
      </c>
      <c r="C1853" s="8" t="n">
        <v>2006</v>
      </c>
      <c r="D1853" s="8" t="s">
        <v>83</v>
      </c>
      <c r="E1853" s="8" t="s">
        <v>5799</v>
      </c>
      <c r="F1853" s="8" t="s">
        <v>782</v>
      </c>
      <c r="G1853" s="8" t="s">
        <v>783</v>
      </c>
      <c r="H1853" s="8" t="s">
        <v>784</v>
      </c>
    </row>
    <row r="1854" customFormat="false" ht="15" hidden="false" customHeight="false" outlineLevel="0" collapsed="false">
      <c r="A1854" s="8" t="s">
        <v>5800</v>
      </c>
      <c r="B1854" s="8" t="s">
        <v>5801</v>
      </c>
      <c r="C1854" s="8" t="n">
        <v>2008</v>
      </c>
      <c r="D1854" s="8" t="s">
        <v>58</v>
      </c>
      <c r="E1854" s="8" t="s">
        <v>5802</v>
      </c>
      <c r="F1854" s="8" t="s">
        <v>782</v>
      </c>
      <c r="G1854" s="8" t="s">
        <v>801</v>
      </c>
      <c r="H1854" s="8" t="s">
        <v>915</v>
      </c>
    </row>
    <row r="1855" customFormat="false" ht="15" hidden="false" customHeight="false" outlineLevel="0" collapsed="false">
      <c r="A1855" s="8" t="s">
        <v>5803</v>
      </c>
      <c r="B1855" s="8" t="s">
        <v>5804</v>
      </c>
      <c r="C1855" s="8" t="n">
        <v>2005</v>
      </c>
      <c r="D1855" s="8" t="s">
        <v>58</v>
      </c>
      <c r="E1855" s="8" t="s">
        <v>5805</v>
      </c>
      <c r="F1855" s="8" t="s">
        <v>782</v>
      </c>
      <c r="G1855" s="8" t="s">
        <v>801</v>
      </c>
      <c r="H1855" s="8" t="s">
        <v>802</v>
      </c>
    </row>
    <row r="1856" customFormat="false" ht="15" hidden="false" customHeight="false" outlineLevel="0" collapsed="false">
      <c r="A1856" s="8" t="s">
        <v>5806</v>
      </c>
      <c r="B1856" s="8" t="s">
        <v>5807</v>
      </c>
      <c r="C1856" s="8" t="n">
        <v>2008</v>
      </c>
      <c r="D1856" s="8" t="s">
        <v>58</v>
      </c>
      <c r="E1856" s="8" t="s">
        <v>5808</v>
      </c>
      <c r="F1856" s="8" t="s">
        <v>782</v>
      </c>
      <c r="G1856" s="8" t="s">
        <v>783</v>
      </c>
      <c r="H1856" s="8" t="s">
        <v>784</v>
      </c>
    </row>
    <row r="1857" customFormat="false" ht="15" hidden="false" customHeight="false" outlineLevel="0" collapsed="false">
      <c r="A1857" s="8" t="s">
        <v>5809</v>
      </c>
      <c r="B1857" s="8" t="s">
        <v>5810</v>
      </c>
      <c r="C1857" s="8" t="n">
        <v>2008</v>
      </c>
      <c r="D1857" s="8" t="s">
        <v>83</v>
      </c>
      <c r="E1857" s="8" t="s">
        <v>5811</v>
      </c>
      <c r="F1857" s="8" t="s">
        <v>782</v>
      </c>
      <c r="G1857" s="8" t="s">
        <v>801</v>
      </c>
      <c r="H1857" s="8" t="s">
        <v>915</v>
      </c>
    </row>
    <row r="1858" customFormat="false" ht="15" hidden="false" customHeight="false" outlineLevel="0" collapsed="false">
      <c r="A1858" s="8" t="s">
        <v>5812</v>
      </c>
      <c r="B1858" s="8" t="s">
        <v>5813</v>
      </c>
      <c r="C1858" s="8" t="n">
        <v>2004</v>
      </c>
      <c r="D1858" s="8" t="s">
        <v>58</v>
      </c>
      <c r="E1858" s="8" t="s">
        <v>5814</v>
      </c>
      <c r="F1858" s="8" t="s">
        <v>782</v>
      </c>
      <c r="G1858" s="8" t="s">
        <v>801</v>
      </c>
      <c r="H1858" s="8" t="s">
        <v>915</v>
      </c>
    </row>
    <row r="1859" customFormat="false" ht="15" hidden="false" customHeight="false" outlineLevel="0" collapsed="false">
      <c r="A1859" s="8" t="s">
        <v>5815</v>
      </c>
      <c r="B1859" s="8" t="s">
        <v>5816</v>
      </c>
      <c r="C1859" s="8" t="n">
        <v>2009</v>
      </c>
      <c r="D1859" s="8" t="s">
        <v>83</v>
      </c>
      <c r="E1859" s="8" t="s">
        <v>5817</v>
      </c>
      <c r="F1859" s="8" t="s">
        <v>782</v>
      </c>
      <c r="G1859" s="8" t="s">
        <v>801</v>
      </c>
      <c r="H1859" s="8" t="s">
        <v>915</v>
      </c>
    </row>
    <row r="1860" customFormat="false" ht="15" hidden="false" customHeight="false" outlineLevel="0" collapsed="false">
      <c r="A1860" s="8" t="s">
        <v>5818</v>
      </c>
      <c r="B1860" s="8" t="s">
        <v>5819</v>
      </c>
      <c r="C1860" s="8" t="n">
        <v>2007</v>
      </c>
      <c r="D1860" s="8" t="s">
        <v>58</v>
      </c>
      <c r="E1860" s="8" t="s">
        <v>5820</v>
      </c>
      <c r="F1860" s="8" t="s">
        <v>782</v>
      </c>
      <c r="G1860" s="8" t="s">
        <v>801</v>
      </c>
      <c r="H1860" s="8" t="s">
        <v>915</v>
      </c>
    </row>
    <row r="1861" customFormat="false" ht="15" hidden="false" customHeight="false" outlineLevel="0" collapsed="false">
      <c r="A1861" s="8" t="s">
        <v>5821</v>
      </c>
      <c r="B1861" s="8" t="s">
        <v>5822</v>
      </c>
      <c r="C1861" s="8" t="n">
        <v>2008</v>
      </c>
      <c r="D1861" s="8" t="s">
        <v>58</v>
      </c>
      <c r="E1861" s="8" t="s">
        <v>5823</v>
      </c>
      <c r="F1861" s="8" t="s">
        <v>782</v>
      </c>
      <c r="G1861" s="8" t="s">
        <v>801</v>
      </c>
      <c r="H1861" s="8" t="s">
        <v>915</v>
      </c>
    </row>
    <row r="1862" customFormat="false" ht="15" hidden="false" customHeight="false" outlineLevel="0" collapsed="false">
      <c r="A1862" s="8" t="s">
        <v>5824</v>
      </c>
      <c r="B1862" s="8" t="s">
        <v>5825</v>
      </c>
      <c r="C1862" s="8" t="n">
        <v>2008</v>
      </c>
      <c r="D1862" s="8" t="s">
        <v>58</v>
      </c>
      <c r="E1862" s="8" t="s">
        <v>5826</v>
      </c>
      <c r="F1862" s="8" t="s">
        <v>782</v>
      </c>
      <c r="G1862" s="8" t="s">
        <v>801</v>
      </c>
      <c r="H1862" s="8" t="s">
        <v>915</v>
      </c>
    </row>
    <row r="1863" customFormat="false" ht="15" hidden="false" customHeight="false" outlineLevel="0" collapsed="false">
      <c r="A1863" s="8" t="s">
        <v>5827</v>
      </c>
      <c r="B1863" s="8" t="s">
        <v>5828</v>
      </c>
      <c r="C1863" s="8" t="n">
        <v>2008</v>
      </c>
      <c r="D1863" s="8" t="s">
        <v>58</v>
      </c>
      <c r="E1863" s="8" t="s">
        <v>5829</v>
      </c>
      <c r="F1863" s="8" t="s">
        <v>782</v>
      </c>
      <c r="G1863" s="8" t="s">
        <v>801</v>
      </c>
      <c r="H1863" s="8" t="s">
        <v>915</v>
      </c>
    </row>
    <row r="1864" customFormat="false" ht="15" hidden="false" customHeight="false" outlineLevel="0" collapsed="false">
      <c r="A1864" s="8" t="s">
        <v>5830</v>
      </c>
      <c r="B1864" s="8" t="s">
        <v>5831</v>
      </c>
      <c r="C1864" s="8" t="n">
        <v>2008</v>
      </c>
      <c r="D1864" s="8" t="s">
        <v>58</v>
      </c>
      <c r="E1864" s="8" t="s">
        <v>5832</v>
      </c>
      <c r="F1864" s="8" t="s">
        <v>782</v>
      </c>
      <c r="G1864" s="8" t="s">
        <v>801</v>
      </c>
      <c r="H1864" s="8" t="s">
        <v>915</v>
      </c>
    </row>
    <row r="1865" customFormat="false" ht="15" hidden="false" customHeight="false" outlineLevel="0" collapsed="false">
      <c r="A1865" s="8" t="s">
        <v>5833</v>
      </c>
      <c r="B1865" s="8" t="s">
        <v>5834</v>
      </c>
      <c r="C1865" s="8" t="n">
        <v>2006</v>
      </c>
      <c r="D1865" s="8" t="s">
        <v>58</v>
      </c>
      <c r="E1865" s="8" t="s">
        <v>5835</v>
      </c>
      <c r="F1865" s="8" t="s">
        <v>782</v>
      </c>
      <c r="G1865" s="8" t="s">
        <v>801</v>
      </c>
      <c r="H1865" s="8" t="s">
        <v>915</v>
      </c>
    </row>
    <row r="1866" customFormat="false" ht="15" hidden="false" customHeight="false" outlineLevel="0" collapsed="false">
      <c r="A1866" s="8" t="s">
        <v>5836</v>
      </c>
      <c r="B1866" s="8" t="s">
        <v>5837</v>
      </c>
      <c r="C1866" s="8" t="n">
        <v>2008</v>
      </c>
      <c r="D1866" s="8" t="s">
        <v>58</v>
      </c>
      <c r="E1866" s="8" t="s">
        <v>5838</v>
      </c>
      <c r="F1866" s="8" t="s">
        <v>782</v>
      </c>
      <c r="G1866" s="8" t="s">
        <v>783</v>
      </c>
      <c r="H1866" s="8" t="s">
        <v>784</v>
      </c>
    </row>
    <row r="1867" customFormat="false" ht="15" hidden="false" customHeight="false" outlineLevel="0" collapsed="false">
      <c r="A1867" s="8" t="s">
        <v>5839</v>
      </c>
      <c r="B1867" s="8" t="s">
        <v>5840</v>
      </c>
      <c r="C1867" s="8" t="n">
        <v>2008</v>
      </c>
      <c r="D1867" s="8" t="s">
        <v>58</v>
      </c>
      <c r="E1867" s="8" t="s">
        <v>5841</v>
      </c>
      <c r="F1867" s="8" t="s">
        <v>782</v>
      </c>
      <c r="G1867" s="8" t="s">
        <v>801</v>
      </c>
      <c r="H1867" s="8" t="s">
        <v>915</v>
      </c>
    </row>
    <row r="1868" customFormat="false" ht="15" hidden="false" customHeight="false" outlineLevel="0" collapsed="false">
      <c r="A1868" s="8" t="s">
        <v>5842</v>
      </c>
      <c r="B1868" s="8" t="s">
        <v>5843</v>
      </c>
      <c r="C1868" s="8" t="n">
        <v>2008</v>
      </c>
      <c r="D1868" s="8" t="s">
        <v>58</v>
      </c>
      <c r="E1868" s="8" t="s">
        <v>5844</v>
      </c>
      <c r="F1868" s="8" t="s">
        <v>782</v>
      </c>
      <c r="G1868" s="8" t="s">
        <v>783</v>
      </c>
      <c r="H1868" s="8" t="s">
        <v>784</v>
      </c>
    </row>
    <row r="1869" customFormat="false" ht="15" hidden="false" customHeight="false" outlineLevel="0" collapsed="false">
      <c r="A1869" s="8" t="s">
        <v>5845</v>
      </c>
      <c r="B1869" s="8" t="s">
        <v>5846</v>
      </c>
      <c r="C1869" s="8" t="n">
        <v>2007</v>
      </c>
      <c r="D1869" s="8" t="s">
        <v>58</v>
      </c>
      <c r="E1869" s="8" t="s">
        <v>5847</v>
      </c>
      <c r="F1869" s="8" t="s">
        <v>782</v>
      </c>
      <c r="G1869" s="8" t="s">
        <v>801</v>
      </c>
      <c r="H1869" s="8" t="s">
        <v>915</v>
      </c>
    </row>
    <row r="1870" customFormat="false" ht="15" hidden="false" customHeight="false" outlineLevel="0" collapsed="false">
      <c r="A1870" s="8" t="s">
        <v>5848</v>
      </c>
      <c r="B1870" s="8" t="s">
        <v>5849</v>
      </c>
      <c r="C1870" s="8" t="n">
        <v>2008</v>
      </c>
      <c r="D1870" s="8" t="s">
        <v>58</v>
      </c>
      <c r="E1870" s="8" t="s">
        <v>5850</v>
      </c>
      <c r="F1870" s="8" t="s">
        <v>782</v>
      </c>
      <c r="G1870" s="8" t="s">
        <v>801</v>
      </c>
      <c r="H1870" s="8" t="s">
        <v>915</v>
      </c>
    </row>
    <row r="1871" customFormat="false" ht="15" hidden="false" customHeight="false" outlineLevel="0" collapsed="false">
      <c r="A1871" s="8" t="s">
        <v>5851</v>
      </c>
      <c r="B1871" s="8" t="s">
        <v>5852</v>
      </c>
      <c r="C1871" s="8" t="n">
        <v>2007</v>
      </c>
      <c r="D1871" s="8" t="s">
        <v>58</v>
      </c>
      <c r="E1871" s="8" t="s">
        <v>5853</v>
      </c>
      <c r="F1871" s="8" t="s">
        <v>782</v>
      </c>
      <c r="G1871" s="8" t="s">
        <v>801</v>
      </c>
      <c r="H1871" s="8" t="s">
        <v>915</v>
      </c>
    </row>
    <row r="1872" customFormat="false" ht="15" hidden="false" customHeight="false" outlineLevel="0" collapsed="false">
      <c r="A1872" s="8" t="s">
        <v>5854</v>
      </c>
      <c r="B1872" s="8" t="s">
        <v>5855</v>
      </c>
      <c r="C1872" s="8" t="n">
        <v>2007</v>
      </c>
      <c r="D1872" s="8" t="s">
        <v>58</v>
      </c>
      <c r="E1872" s="8" t="s">
        <v>5856</v>
      </c>
      <c r="F1872" s="8" t="s">
        <v>782</v>
      </c>
      <c r="G1872" s="8" t="s">
        <v>783</v>
      </c>
      <c r="H1872" s="8" t="s">
        <v>784</v>
      </c>
    </row>
    <row r="1873" customFormat="false" ht="15" hidden="false" customHeight="false" outlineLevel="0" collapsed="false">
      <c r="A1873" s="8" t="s">
        <v>5857</v>
      </c>
      <c r="B1873" s="8" t="s">
        <v>5858</v>
      </c>
      <c r="C1873" s="8" t="n">
        <v>2007</v>
      </c>
      <c r="D1873" s="8" t="s">
        <v>58</v>
      </c>
      <c r="E1873" s="8"/>
      <c r="F1873" s="8" t="s">
        <v>782</v>
      </c>
      <c r="G1873" s="8" t="s">
        <v>783</v>
      </c>
      <c r="H1873" s="8" t="s">
        <v>784</v>
      </c>
    </row>
    <row r="1874" customFormat="false" ht="15" hidden="false" customHeight="false" outlineLevel="0" collapsed="false">
      <c r="A1874" s="8" t="s">
        <v>5859</v>
      </c>
      <c r="B1874" s="8" t="s">
        <v>5860</v>
      </c>
      <c r="C1874" s="8" t="n">
        <v>2008</v>
      </c>
      <c r="D1874" s="8" t="s">
        <v>58</v>
      </c>
      <c r="E1874" s="8" t="s">
        <v>5861</v>
      </c>
      <c r="F1874" s="8" t="s">
        <v>782</v>
      </c>
      <c r="G1874" s="8" t="s">
        <v>801</v>
      </c>
      <c r="H1874" s="8" t="s">
        <v>802</v>
      </c>
    </row>
    <row r="1875" customFormat="false" ht="15" hidden="false" customHeight="false" outlineLevel="0" collapsed="false">
      <c r="A1875" s="8" t="s">
        <v>5862</v>
      </c>
      <c r="B1875" s="8" t="s">
        <v>5863</v>
      </c>
      <c r="C1875" s="8" t="n">
        <v>2004</v>
      </c>
      <c r="D1875" s="8" t="s">
        <v>58</v>
      </c>
      <c r="E1875" s="8"/>
      <c r="F1875" s="8" t="s">
        <v>782</v>
      </c>
      <c r="G1875" s="8" t="s">
        <v>783</v>
      </c>
      <c r="H1875" s="8" t="s">
        <v>784</v>
      </c>
    </row>
    <row r="1876" customFormat="false" ht="15" hidden="false" customHeight="false" outlineLevel="0" collapsed="false">
      <c r="A1876" s="8" t="s">
        <v>5864</v>
      </c>
      <c r="B1876" s="8" t="s">
        <v>5865</v>
      </c>
      <c r="C1876" s="8" t="n">
        <v>2007</v>
      </c>
      <c r="D1876" s="8" t="s">
        <v>58</v>
      </c>
      <c r="E1876" s="8" t="s">
        <v>5866</v>
      </c>
      <c r="F1876" s="8" t="s">
        <v>782</v>
      </c>
      <c r="G1876" s="8" t="s">
        <v>801</v>
      </c>
      <c r="H1876" s="8" t="s">
        <v>802</v>
      </c>
    </row>
    <row r="1877" customFormat="false" ht="15" hidden="false" customHeight="false" outlineLevel="0" collapsed="false">
      <c r="A1877" s="8" t="s">
        <v>5867</v>
      </c>
      <c r="B1877" s="8" t="s">
        <v>5868</v>
      </c>
      <c r="C1877" s="8" t="n">
        <v>2009</v>
      </c>
      <c r="D1877" s="8" t="s">
        <v>58</v>
      </c>
      <c r="E1877" s="8" t="s">
        <v>5869</v>
      </c>
      <c r="F1877" s="8" t="s">
        <v>782</v>
      </c>
      <c r="G1877" s="8" t="s">
        <v>783</v>
      </c>
      <c r="H1877" s="8" t="s">
        <v>784</v>
      </c>
    </row>
    <row r="1878" customFormat="false" ht="15" hidden="false" customHeight="false" outlineLevel="0" collapsed="false">
      <c r="A1878" s="8" t="s">
        <v>5870</v>
      </c>
      <c r="B1878" s="8" t="s">
        <v>5871</v>
      </c>
      <c r="C1878" s="8" t="n">
        <v>2006</v>
      </c>
      <c r="D1878" s="8" t="s">
        <v>58</v>
      </c>
      <c r="E1878" s="8"/>
      <c r="F1878" s="8" t="s">
        <v>782</v>
      </c>
      <c r="G1878" s="8" t="s">
        <v>783</v>
      </c>
      <c r="H1878" s="8" t="s">
        <v>784</v>
      </c>
    </row>
    <row r="1879" customFormat="false" ht="15" hidden="false" customHeight="false" outlineLevel="0" collapsed="false">
      <c r="A1879" s="8" t="s">
        <v>5872</v>
      </c>
      <c r="B1879" s="8" t="s">
        <v>5873</v>
      </c>
      <c r="C1879" s="8" t="n">
        <v>2006</v>
      </c>
      <c r="D1879" s="8" t="s">
        <v>58</v>
      </c>
      <c r="E1879" s="8"/>
      <c r="F1879" s="8" t="s">
        <v>782</v>
      </c>
      <c r="G1879" s="8" t="s">
        <v>783</v>
      </c>
      <c r="H1879" s="8" t="s">
        <v>784</v>
      </c>
    </row>
    <row r="1880" customFormat="false" ht="15" hidden="false" customHeight="false" outlineLevel="0" collapsed="false">
      <c r="A1880" s="8" t="s">
        <v>5874</v>
      </c>
      <c r="B1880" s="8" t="s">
        <v>5875</v>
      </c>
      <c r="C1880" s="8" t="n">
        <v>2008</v>
      </c>
      <c r="D1880" s="8" t="s">
        <v>58</v>
      </c>
      <c r="E1880" s="8" t="s">
        <v>5876</v>
      </c>
      <c r="F1880" s="8" t="s">
        <v>782</v>
      </c>
      <c r="G1880" s="8" t="s">
        <v>801</v>
      </c>
      <c r="H1880" s="8" t="s">
        <v>915</v>
      </c>
    </row>
    <row r="1881" customFormat="false" ht="15" hidden="false" customHeight="false" outlineLevel="0" collapsed="false">
      <c r="A1881" s="8" t="s">
        <v>5877</v>
      </c>
      <c r="B1881" s="8" t="s">
        <v>5878</v>
      </c>
      <c r="C1881" s="8" t="n">
        <v>2007</v>
      </c>
      <c r="D1881" s="8" t="s">
        <v>58</v>
      </c>
      <c r="E1881" s="8" t="s">
        <v>5879</v>
      </c>
      <c r="F1881" s="8" t="s">
        <v>782</v>
      </c>
      <c r="G1881" s="8" t="s">
        <v>801</v>
      </c>
      <c r="H1881" s="8" t="s">
        <v>915</v>
      </c>
    </row>
    <row r="1882" customFormat="false" ht="15" hidden="false" customHeight="false" outlineLevel="0" collapsed="false">
      <c r="A1882" s="8" t="s">
        <v>5880</v>
      </c>
      <c r="B1882" s="8" t="s">
        <v>5881</v>
      </c>
      <c r="C1882" s="8" t="n">
        <v>2008</v>
      </c>
      <c r="D1882" s="8" t="s">
        <v>58</v>
      </c>
      <c r="E1882" s="8" t="s">
        <v>5882</v>
      </c>
      <c r="F1882" s="8" t="s">
        <v>782</v>
      </c>
      <c r="G1882" s="8" t="s">
        <v>801</v>
      </c>
      <c r="H1882" s="8" t="s">
        <v>915</v>
      </c>
    </row>
    <row r="1883" customFormat="false" ht="15" hidden="false" customHeight="false" outlineLevel="0" collapsed="false">
      <c r="A1883" s="8" t="s">
        <v>5883</v>
      </c>
      <c r="B1883" s="8" t="s">
        <v>5884</v>
      </c>
      <c r="C1883" s="8" t="n">
        <v>2007</v>
      </c>
      <c r="D1883" s="8" t="s">
        <v>58</v>
      </c>
      <c r="E1883" s="8"/>
      <c r="F1883" s="8" t="s">
        <v>782</v>
      </c>
      <c r="G1883" s="8" t="s">
        <v>801</v>
      </c>
      <c r="H1883" s="8" t="s">
        <v>915</v>
      </c>
    </row>
    <row r="1884" customFormat="false" ht="15" hidden="false" customHeight="false" outlineLevel="0" collapsed="false">
      <c r="A1884" s="8" t="s">
        <v>5885</v>
      </c>
      <c r="B1884" s="8" t="s">
        <v>5886</v>
      </c>
      <c r="C1884" s="8" t="n">
        <v>2004</v>
      </c>
      <c r="D1884" s="8" t="s">
        <v>58</v>
      </c>
      <c r="E1884" s="8" t="s">
        <v>5887</v>
      </c>
      <c r="F1884" s="8" t="s">
        <v>782</v>
      </c>
      <c r="G1884" s="8" t="s">
        <v>783</v>
      </c>
      <c r="H1884" s="8" t="s">
        <v>784</v>
      </c>
    </row>
    <row r="1885" customFormat="false" ht="15" hidden="false" customHeight="false" outlineLevel="0" collapsed="false">
      <c r="A1885" s="8" t="s">
        <v>5888</v>
      </c>
      <c r="B1885" s="8" t="s">
        <v>5889</v>
      </c>
      <c r="C1885" s="8" t="n">
        <v>2006</v>
      </c>
      <c r="D1885" s="8" t="s">
        <v>58</v>
      </c>
      <c r="E1885" s="8" t="s">
        <v>5890</v>
      </c>
      <c r="F1885" s="8" t="s">
        <v>782</v>
      </c>
      <c r="G1885" s="8" t="s">
        <v>801</v>
      </c>
      <c r="H1885" s="8" t="s">
        <v>915</v>
      </c>
    </row>
    <row r="1886" customFormat="false" ht="15" hidden="false" customHeight="false" outlineLevel="0" collapsed="false">
      <c r="A1886" s="8" t="s">
        <v>5891</v>
      </c>
      <c r="B1886" s="8" t="s">
        <v>5892</v>
      </c>
      <c r="C1886" s="8" t="n">
        <v>2007</v>
      </c>
      <c r="D1886" s="8" t="s">
        <v>58</v>
      </c>
      <c r="E1886" s="8" t="s">
        <v>5893</v>
      </c>
      <c r="F1886" s="8" t="s">
        <v>782</v>
      </c>
      <c r="G1886" s="8" t="s">
        <v>801</v>
      </c>
      <c r="H1886" s="8" t="s">
        <v>915</v>
      </c>
    </row>
    <row r="1887" customFormat="false" ht="15" hidden="false" customHeight="false" outlineLevel="0" collapsed="false">
      <c r="A1887" s="8" t="s">
        <v>5894</v>
      </c>
      <c r="B1887" s="8" t="s">
        <v>5895</v>
      </c>
      <c r="C1887" s="8" t="n">
        <v>2006</v>
      </c>
      <c r="D1887" s="8" t="s">
        <v>58</v>
      </c>
      <c r="E1887" s="8" t="s">
        <v>5896</v>
      </c>
      <c r="F1887" s="8" t="s">
        <v>782</v>
      </c>
      <c r="G1887" s="8" t="s">
        <v>801</v>
      </c>
      <c r="H1887" s="8" t="s">
        <v>915</v>
      </c>
    </row>
    <row r="1888" customFormat="false" ht="15" hidden="false" customHeight="false" outlineLevel="0" collapsed="false">
      <c r="A1888" s="8" t="s">
        <v>5897</v>
      </c>
      <c r="B1888" s="8" t="s">
        <v>5898</v>
      </c>
      <c r="C1888" s="8" t="n">
        <v>2005</v>
      </c>
      <c r="D1888" s="8" t="s">
        <v>83</v>
      </c>
      <c r="E1888" s="8" t="s">
        <v>5899</v>
      </c>
      <c r="F1888" s="8" t="s">
        <v>782</v>
      </c>
      <c r="G1888" s="8" t="s">
        <v>801</v>
      </c>
      <c r="H1888" s="8" t="s">
        <v>915</v>
      </c>
    </row>
    <row r="1889" customFormat="false" ht="15" hidden="false" customHeight="false" outlineLevel="0" collapsed="false">
      <c r="A1889" s="8" t="s">
        <v>5900</v>
      </c>
      <c r="B1889" s="8" t="s">
        <v>5901</v>
      </c>
      <c r="C1889" s="8" t="n">
        <v>2007</v>
      </c>
      <c r="D1889" s="8" t="s">
        <v>58</v>
      </c>
      <c r="E1889" s="8"/>
      <c r="F1889" s="8" t="s">
        <v>782</v>
      </c>
      <c r="G1889" s="8" t="s">
        <v>801</v>
      </c>
      <c r="H1889" s="8" t="s">
        <v>915</v>
      </c>
    </row>
    <row r="1890" customFormat="false" ht="15" hidden="false" customHeight="false" outlineLevel="0" collapsed="false">
      <c r="A1890" s="8" t="s">
        <v>5902</v>
      </c>
      <c r="B1890" s="8" t="s">
        <v>5903</v>
      </c>
      <c r="C1890" s="8" t="n">
        <v>2008</v>
      </c>
      <c r="D1890" s="8" t="s">
        <v>58</v>
      </c>
      <c r="E1890" s="8" t="s">
        <v>5904</v>
      </c>
      <c r="F1890" s="8" t="s">
        <v>782</v>
      </c>
      <c r="G1890" s="8" t="s">
        <v>783</v>
      </c>
      <c r="H1890" s="8" t="s">
        <v>861</v>
      </c>
    </row>
    <row r="1891" customFormat="false" ht="15" hidden="false" customHeight="false" outlineLevel="0" collapsed="false">
      <c r="A1891" s="8" t="s">
        <v>5905</v>
      </c>
      <c r="B1891" s="8" t="s">
        <v>5906</v>
      </c>
      <c r="C1891" s="8" t="n">
        <v>2008</v>
      </c>
      <c r="D1891" s="8" t="s">
        <v>58</v>
      </c>
      <c r="E1891" s="8" t="s">
        <v>5907</v>
      </c>
      <c r="F1891" s="8" t="s">
        <v>782</v>
      </c>
      <c r="G1891" s="8" t="s">
        <v>783</v>
      </c>
      <c r="H1891" s="8" t="s">
        <v>784</v>
      </c>
    </row>
    <row r="1892" customFormat="false" ht="15" hidden="false" customHeight="false" outlineLevel="0" collapsed="false">
      <c r="A1892" s="8" t="s">
        <v>5908</v>
      </c>
      <c r="B1892" s="8" t="s">
        <v>5909</v>
      </c>
      <c r="C1892" s="8" t="n">
        <v>2006</v>
      </c>
      <c r="D1892" s="8" t="s">
        <v>58</v>
      </c>
      <c r="E1892" s="8" t="s">
        <v>5910</v>
      </c>
      <c r="F1892" s="8" t="s">
        <v>782</v>
      </c>
      <c r="G1892" s="8" t="s">
        <v>801</v>
      </c>
      <c r="H1892" s="8" t="s">
        <v>915</v>
      </c>
    </row>
    <row r="1893" customFormat="false" ht="15" hidden="false" customHeight="false" outlineLevel="0" collapsed="false">
      <c r="A1893" s="8" t="s">
        <v>5911</v>
      </c>
      <c r="B1893" s="8" t="s">
        <v>5912</v>
      </c>
      <c r="C1893" s="8" t="n">
        <v>2005</v>
      </c>
      <c r="D1893" s="8" t="s">
        <v>58</v>
      </c>
      <c r="E1893" s="8" t="s">
        <v>5913</v>
      </c>
      <c r="F1893" s="8" t="s">
        <v>782</v>
      </c>
      <c r="G1893" s="8" t="s">
        <v>783</v>
      </c>
      <c r="H1893" s="8" t="s">
        <v>784</v>
      </c>
    </row>
    <row r="1894" customFormat="false" ht="15" hidden="false" customHeight="false" outlineLevel="0" collapsed="false">
      <c r="A1894" s="8" t="s">
        <v>5914</v>
      </c>
      <c r="B1894" s="8" t="s">
        <v>5915</v>
      </c>
      <c r="C1894" s="8" t="n">
        <v>2005</v>
      </c>
      <c r="D1894" s="8" t="s">
        <v>58</v>
      </c>
      <c r="E1894" s="8"/>
      <c r="F1894" s="8" t="s">
        <v>782</v>
      </c>
      <c r="G1894" s="8" t="s">
        <v>783</v>
      </c>
      <c r="H1894" s="8" t="s">
        <v>784</v>
      </c>
    </row>
    <row r="1895" customFormat="false" ht="15" hidden="false" customHeight="false" outlineLevel="0" collapsed="false">
      <c r="A1895" s="8" t="s">
        <v>5916</v>
      </c>
      <c r="B1895" s="8" t="s">
        <v>5917</v>
      </c>
      <c r="C1895" s="8" t="n">
        <v>2008</v>
      </c>
      <c r="D1895" s="8" t="s">
        <v>58</v>
      </c>
      <c r="E1895" s="8" t="s">
        <v>5918</v>
      </c>
      <c r="F1895" s="8" t="s">
        <v>782</v>
      </c>
      <c r="G1895" s="8" t="s">
        <v>783</v>
      </c>
      <c r="H1895" s="8" t="s">
        <v>784</v>
      </c>
    </row>
    <row r="1896" customFormat="false" ht="15" hidden="false" customHeight="false" outlineLevel="0" collapsed="false">
      <c r="A1896" s="8" t="s">
        <v>5919</v>
      </c>
      <c r="B1896" s="8" t="s">
        <v>5920</v>
      </c>
      <c r="C1896" s="8" t="n">
        <v>2009</v>
      </c>
      <c r="D1896" s="8" t="s">
        <v>58</v>
      </c>
      <c r="E1896" s="8"/>
      <c r="F1896" s="8" t="s">
        <v>782</v>
      </c>
      <c r="G1896" s="8" t="s">
        <v>783</v>
      </c>
      <c r="H1896" s="8" t="s">
        <v>784</v>
      </c>
    </row>
    <row r="1897" customFormat="false" ht="15" hidden="false" customHeight="false" outlineLevel="0" collapsed="false">
      <c r="A1897" s="8" t="s">
        <v>5921</v>
      </c>
      <c r="B1897" s="8" t="s">
        <v>5922</v>
      </c>
      <c r="C1897" s="8" t="n">
        <v>2008</v>
      </c>
      <c r="D1897" s="8" t="s">
        <v>58</v>
      </c>
      <c r="E1897" s="8" t="s">
        <v>5923</v>
      </c>
      <c r="F1897" s="8" t="s">
        <v>782</v>
      </c>
      <c r="G1897" s="8" t="s">
        <v>801</v>
      </c>
      <c r="H1897" s="8" t="s">
        <v>915</v>
      </c>
    </row>
    <row r="1898" customFormat="false" ht="15" hidden="false" customHeight="false" outlineLevel="0" collapsed="false">
      <c r="A1898" s="8" t="s">
        <v>5924</v>
      </c>
      <c r="B1898" s="8" t="s">
        <v>5925</v>
      </c>
      <c r="C1898" s="8" t="n">
        <v>2005</v>
      </c>
      <c r="D1898" s="8" t="s">
        <v>83</v>
      </c>
      <c r="E1898" s="8" t="s">
        <v>5926</v>
      </c>
      <c r="F1898" s="8" t="s">
        <v>782</v>
      </c>
      <c r="G1898" s="8" t="s">
        <v>801</v>
      </c>
      <c r="H1898" s="8" t="s">
        <v>802</v>
      </c>
    </row>
    <row r="1899" customFormat="false" ht="15" hidden="false" customHeight="false" outlineLevel="0" collapsed="false">
      <c r="A1899" s="8" t="s">
        <v>5927</v>
      </c>
      <c r="B1899" s="8" t="s">
        <v>5928</v>
      </c>
      <c r="C1899" s="8" t="n">
        <v>2007</v>
      </c>
      <c r="D1899" s="8" t="s">
        <v>58</v>
      </c>
      <c r="E1899" s="8" t="s">
        <v>5929</v>
      </c>
      <c r="F1899" s="8" t="s">
        <v>782</v>
      </c>
      <c r="G1899" s="8" t="s">
        <v>801</v>
      </c>
      <c r="H1899" s="8" t="s">
        <v>915</v>
      </c>
    </row>
    <row r="1900" customFormat="false" ht="15" hidden="false" customHeight="false" outlineLevel="0" collapsed="false">
      <c r="A1900" s="8" t="s">
        <v>5930</v>
      </c>
      <c r="B1900" s="8" t="s">
        <v>5931</v>
      </c>
      <c r="C1900" s="8" t="n">
        <v>2009</v>
      </c>
      <c r="D1900" s="8" t="s">
        <v>58</v>
      </c>
      <c r="E1900" s="8" t="s">
        <v>5932</v>
      </c>
      <c r="F1900" s="8" t="s">
        <v>782</v>
      </c>
      <c r="G1900" s="8" t="s">
        <v>801</v>
      </c>
      <c r="H1900" s="8" t="s">
        <v>915</v>
      </c>
    </row>
    <row r="1901" customFormat="false" ht="15" hidden="false" customHeight="false" outlineLevel="0" collapsed="false">
      <c r="A1901" s="8" t="s">
        <v>5933</v>
      </c>
      <c r="B1901" s="8" t="s">
        <v>5934</v>
      </c>
      <c r="C1901" s="8" t="n">
        <v>2008</v>
      </c>
      <c r="D1901" s="8" t="s">
        <v>58</v>
      </c>
      <c r="E1901" s="8" t="s">
        <v>5935</v>
      </c>
      <c r="F1901" s="8" t="s">
        <v>782</v>
      </c>
      <c r="G1901" s="8" t="s">
        <v>801</v>
      </c>
      <c r="H1901" s="8" t="s">
        <v>915</v>
      </c>
    </row>
    <row r="1902" customFormat="false" ht="15" hidden="false" customHeight="false" outlineLevel="0" collapsed="false">
      <c r="A1902" s="8" t="s">
        <v>5936</v>
      </c>
      <c r="B1902" s="8" t="s">
        <v>5937</v>
      </c>
      <c r="C1902" s="8" t="n">
        <v>2008</v>
      </c>
      <c r="D1902" s="8" t="s">
        <v>58</v>
      </c>
      <c r="E1902" s="8" t="s">
        <v>5938</v>
      </c>
      <c r="F1902" s="8" t="s">
        <v>782</v>
      </c>
      <c r="G1902" s="8" t="s">
        <v>801</v>
      </c>
      <c r="H1902" s="8" t="s">
        <v>915</v>
      </c>
    </row>
    <row r="1903" customFormat="false" ht="15" hidden="false" customHeight="false" outlineLevel="0" collapsed="false">
      <c r="A1903" s="8" t="s">
        <v>5939</v>
      </c>
      <c r="B1903" s="8" t="s">
        <v>5940</v>
      </c>
      <c r="C1903" s="8" t="n">
        <v>2008</v>
      </c>
      <c r="D1903" s="8" t="s">
        <v>58</v>
      </c>
      <c r="E1903" s="8" t="s">
        <v>5941</v>
      </c>
      <c r="F1903" s="8" t="s">
        <v>782</v>
      </c>
      <c r="G1903" s="8" t="s">
        <v>801</v>
      </c>
      <c r="H1903" s="8" t="s">
        <v>802</v>
      </c>
    </row>
    <row r="1904" customFormat="false" ht="15" hidden="false" customHeight="false" outlineLevel="0" collapsed="false">
      <c r="A1904" s="8" t="s">
        <v>5942</v>
      </c>
      <c r="B1904" s="8" t="s">
        <v>5943</v>
      </c>
      <c r="C1904" s="8" t="n">
        <v>2008</v>
      </c>
      <c r="D1904" s="8" t="s">
        <v>83</v>
      </c>
      <c r="E1904" s="8" t="s">
        <v>5944</v>
      </c>
      <c r="F1904" s="8" t="s">
        <v>782</v>
      </c>
      <c r="G1904" s="8" t="s">
        <v>801</v>
      </c>
      <c r="H1904" s="8" t="s">
        <v>915</v>
      </c>
    </row>
    <row r="1905" customFormat="false" ht="15" hidden="false" customHeight="false" outlineLevel="0" collapsed="false">
      <c r="A1905" s="8" t="s">
        <v>5945</v>
      </c>
      <c r="B1905" s="8" t="s">
        <v>5946</v>
      </c>
      <c r="C1905" s="8" t="n">
        <v>2009</v>
      </c>
      <c r="D1905" s="8" t="s">
        <v>83</v>
      </c>
      <c r="E1905" s="8" t="s">
        <v>5947</v>
      </c>
      <c r="F1905" s="8" t="s">
        <v>782</v>
      </c>
      <c r="G1905" s="8" t="s">
        <v>801</v>
      </c>
      <c r="H1905" s="8" t="s">
        <v>915</v>
      </c>
    </row>
    <row r="1906" customFormat="false" ht="15" hidden="false" customHeight="false" outlineLevel="0" collapsed="false">
      <c r="A1906" s="8" t="s">
        <v>5948</v>
      </c>
      <c r="B1906" s="8" t="s">
        <v>5949</v>
      </c>
      <c r="C1906" s="8" t="n">
        <v>2008</v>
      </c>
      <c r="D1906" s="8" t="s">
        <v>58</v>
      </c>
      <c r="E1906" s="8" t="s">
        <v>5950</v>
      </c>
      <c r="F1906" s="8" t="s">
        <v>782</v>
      </c>
      <c r="G1906" s="8" t="s">
        <v>783</v>
      </c>
      <c r="H1906" s="8" t="s">
        <v>784</v>
      </c>
    </row>
    <row r="1907" customFormat="false" ht="15" hidden="false" customHeight="false" outlineLevel="0" collapsed="false">
      <c r="A1907" s="8" t="s">
        <v>5951</v>
      </c>
      <c r="B1907" s="8" t="s">
        <v>5952</v>
      </c>
      <c r="C1907" s="8" t="n">
        <v>2007</v>
      </c>
      <c r="D1907" s="8" t="s">
        <v>58</v>
      </c>
      <c r="E1907" s="8" t="s">
        <v>5953</v>
      </c>
      <c r="F1907" s="8" t="s">
        <v>782</v>
      </c>
      <c r="G1907" s="8" t="s">
        <v>801</v>
      </c>
      <c r="H1907" s="8" t="s">
        <v>915</v>
      </c>
    </row>
    <row r="1908" customFormat="false" ht="15" hidden="false" customHeight="false" outlineLevel="0" collapsed="false">
      <c r="A1908" s="8" t="s">
        <v>5954</v>
      </c>
      <c r="B1908" s="8" t="s">
        <v>5955</v>
      </c>
      <c r="C1908" s="8" t="n">
        <v>2007</v>
      </c>
      <c r="D1908" s="8" t="s">
        <v>58</v>
      </c>
      <c r="E1908" s="8"/>
      <c r="F1908" s="8" t="s">
        <v>782</v>
      </c>
      <c r="G1908" s="8" t="s">
        <v>783</v>
      </c>
      <c r="H1908" s="8" t="s">
        <v>784</v>
      </c>
    </row>
    <row r="1909" customFormat="false" ht="15" hidden="false" customHeight="false" outlineLevel="0" collapsed="false">
      <c r="A1909" s="8" t="s">
        <v>5956</v>
      </c>
      <c r="B1909" s="8" t="s">
        <v>5957</v>
      </c>
      <c r="C1909" s="8" t="n">
        <v>2008</v>
      </c>
      <c r="D1909" s="8" t="s">
        <v>58</v>
      </c>
      <c r="E1909" s="8" t="s">
        <v>5958</v>
      </c>
      <c r="F1909" s="8" t="s">
        <v>782</v>
      </c>
      <c r="G1909" s="8" t="s">
        <v>801</v>
      </c>
      <c r="H1909" s="8" t="s">
        <v>915</v>
      </c>
    </row>
    <row r="1910" customFormat="false" ht="15" hidden="false" customHeight="false" outlineLevel="0" collapsed="false">
      <c r="A1910" s="8" t="s">
        <v>5959</v>
      </c>
      <c r="B1910" s="8" t="s">
        <v>5960</v>
      </c>
      <c r="C1910" s="8" t="n">
        <v>2008</v>
      </c>
      <c r="D1910" s="8" t="s">
        <v>58</v>
      </c>
      <c r="E1910" s="8" t="s">
        <v>5961</v>
      </c>
      <c r="F1910" s="8" t="s">
        <v>782</v>
      </c>
      <c r="G1910" s="8" t="s">
        <v>801</v>
      </c>
      <c r="H1910" s="8" t="s">
        <v>915</v>
      </c>
    </row>
    <row r="1911" customFormat="false" ht="15" hidden="false" customHeight="false" outlineLevel="0" collapsed="false">
      <c r="A1911" s="8" t="s">
        <v>5962</v>
      </c>
      <c r="B1911" s="8" t="s">
        <v>5963</v>
      </c>
      <c r="C1911" s="8" t="n">
        <v>2007</v>
      </c>
      <c r="D1911" s="8" t="s">
        <v>58</v>
      </c>
      <c r="E1911" s="8"/>
      <c r="F1911" s="8" t="s">
        <v>782</v>
      </c>
      <c r="G1911" s="8" t="s">
        <v>801</v>
      </c>
      <c r="H1911" s="8" t="s">
        <v>915</v>
      </c>
    </row>
    <row r="1912" customFormat="false" ht="15" hidden="false" customHeight="false" outlineLevel="0" collapsed="false">
      <c r="A1912" s="8" t="s">
        <v>5964</v>
      </c>
      <c r="B1912" s="8" t="s">
        <v>5965</v>
      </c>
      <c r="C1912" s="8" t="n">
        <v>1992</v>
      </c>
      <c r="D1912" s="8" t="s">
        <v>58</v>
      </c>
      <c r="E1912" s="8"/>
      <c r="F1912" s="8" t="s">
        <v>782</v>
      </c>
      <c r="G1912" s="8" t="s">
        <v>783</v>
      </c>
      <c r="H1912" s="8" t="s">
        <v>784</v>
      </c>
    </row>
    <row r="1913" customFormat="false" ht="15" hidden="false" customHeight="false" outlineLevel="0" collapsed="false">
      <c r="A1913" s="8" t="s">
        <v>5966</v>
      </c>
      <c r="B1913" s="8" t="s">
        <v>5967</v>
      </c>
      <c r="C1913" s="8" t="n">
        <v>1965</v>
      </c>
      <c r="D1913" s="8" t="s">
        <v>58</v>
      </c>
      <c r="E1913" s="8"/>
      <c r="F1913" s="8" t="s">
        <v>782</v>
      </c>
      <c r="G1913" s="8" t="s">
        <v>801</v>
      </c>
      <c r="H1913" s="8" t="s">
        <v>802</v>
      </c>
    </row>
    <row r="1914" customFormat="false" ht="15" hidden="false" customHeight="false" outlineLevel="0" collapsed="false">
      <c r="A1914" s="8" t="s">
        <v>5968</v>
      </c>
      <c r="B1914" s="8" t="s">
        <v>5969</v>
      </c>
      <c r="C1914" s="8" t="n">
        <v>1994</v>
      </c>
      <c r="D1914" s="8" t="s">
        <v>58</v>
      </c>
      <c r="E1914" s="8" t="s">
        <v>5970</v>
      </c>
      <c r="F1914" s="8" t="s">
        <v>782</v>
      </c>
      <c r="G1914" s="8" t="s">
        <v>801</v>
      </c>
      <c r="H1914" s="8" t="s">
        <v>802</v>
      </c>
    </row>
    <row r="1915" customFormat="false" ht="15" hidden="false" customHeight="false" outlineLevel="0" collapsed="false">
      <c r="A1915" s="8" t="s">
        <v>5971</v>
      </c>
      <c r="B1915" s="8" t="s">
        <v>5972</v>
      </c>
      <c r="C1915" s="8" t="n">
        <v>1995</v>
      </c>
      <c r="D1915" s="8" t="s">
        <v>58</v>
      </c>
      <c r="E1915" s="8" t="s">
        <v>5973</v>
      </c>
      <c r="F1915" s="8" t="s">
        <v>782</v>
      </c>
      <c r="G1915" s="8" t="s">
        <v>783</v>
      </c>
      <c r="H1915" s="8" t="s">
        <v>784</v>
      </c>
    </row>
    <row r="1916" customFormat="false" ht="15" hidden="false" customHeight="false" outlineLevel="0" collapsed="false">
      <c r="A1916" s="8" t="s">
        <v>5974</v>
      </c>
      <c r="B1916" s="8" t="s">
        <v>5975</v>
      </c>
      <c r="C1916" s="8" t="n">
        <v>1994</v>
      </c>
      <c r="D1916" s="8" t="s">
        <v>58</v>
      </c>
      <c r="E1916" s="8"/>
      <c r="F1916" s="8" t="s">
        <v>782</v>
      </c>
      <c r="G1916" s="8" t="s">
        <v>783</v>
      </c>
      <c r="H1916" s="8" t="s">
        <v>784</v>
      </c>
    </row>
    <row r="1917" customFormat="false" ht="15" hidden="false" customHeight="false" outlineLevel="0" collapsed="false">
      <c r="A1917" s="8" t="s">
        <v>5976</v>
      </c>
      <c r="B1917" s="8" t="s">
        <v>5977</v>
      </c>
      <c r="C1917" s="8" t="n">
        <v>1988</v>
      </c>
      <c r="D1917" s="8" t="s">
        <v>58</v>
      </c>
      <c r="E1917" s="8" t="s">
        <v>5978</v>
      </c>
      <c r="F1917" s="8" t="s">
        <v>782</v>
      </c>
      <c r="G1917" s="8" t="s">
        <v>783</v>
      </c>
      <c r="H1917" s="8" t="s">
        <v>784</v>
      </c>
    </row>
    <row r="1918" customFormat="false" ht="15" hidden="false" customHeight="false" outlineLevel="0" collapsed="false">
      <c r="A1918" s="8" t="s">
        <v>5979</v>
      </c>
      <c r="B1918" s="8" t="s">
        <v>5980</v>
      </c>
      <c r="C1918" s="8" t="n">
        <v>2003</v>
      </c>
      <c r="D1918" s="8" t="s">
        <v>58</v>
      </c>
      <c r="E1918" s="8" t="s">
        <v>5981</v>
      </c>
      <c r="F1918" s="8" t="s">
        <v>782</v>
      </c>
      <c r="G1918" s="8" t="s">
        <v>783</v>
      </c>
      <c r="H1918" s="8" t="s">
        <v>784</v>
      </c>
    </row>
    <row r="1919" customFormat="false" ht="15" hidden="false" customHeight="false" outlineLevel="0" collapsed="false">
      <c r="A1919" s="8" t="s">
        <v>5982</v>
      </c>
      <c r="B1919" s="8" t="s">
        <v>5983</v>
      </c>
      <c r="C1919" s="8" t="n">
        <v>1986</v>
      </c>
      <c r="D1919" s="8" t="s">
        <v>58</v>
      </c>
      <c r="E1919" s="8"/>
      <c r="F1919" s="8" t="s">
        <v>782</v>
      </c>
      <c r="G1919" s="8" t="s">
        <v>783</v>
      </c>
      <c r="H1919" s="8" t="s">
        <v>784</v>
      </c>
    </row>
    <row r="1920" customFormat="false" ht="15" hidden="false" customHeight="false" outlineLevel="0" collapsed="false">
      <c r="A1920" s="8" t="s">
        <v>5984</v>
      </c>
      <c r="B1920" s="8" t="s">
        <v>5985</v>
      </c>
      <c r="C1920" s="8" t="n">
        <v>2002</v>
      </c>
      <c r="D1920" s="8" t="s">
        <v>58</v>
      </c>
      <c r="E1920" s="8"/>
      <c r="F1920" s="8" t="s">
        <v>782</v>
      </c>
      <c r="G1920" s="8" t="s">
        <v>783</v>
      </c>
      <c r="H1920" s="8" t="s">
        <v>861</v>
      </c>
    </row>
    <row r="1921" customFormat="false" ht="15" hidden="false" customHeight="false" outlineLevel="0" collapsed="false">
      <c r="A1921" s="8" t="s">
        <v>5986</v>
      </c>
      <c r="B1921" s="8" t="s">
        <v>5987</v>
      </c>
      <c r="C1921" s="8" t="n">
        <v>1999</v>
      </c>
      <c r="D1921" s="8" t="s">
        <v>58</v>
      </c>
      <c r="E1921" s="8"/>
      <c r="F1921" s="8" t="s">
        <v>782</v>
      </c>
      <c r="G1921" s="8" t="s">
        <v>783</v>
      </c>
      <c r="H1921" s="8" t="s">
        <v>784</v>
      </c>
    </row>
    <row r="1922" customFormat="false" ht="15" hidden="false" customHeight="false" outlineLevel="0" collapsed="false">
      <c r="A1922" s="8" t="s">
        <v>5988</v>
      </c>
      <c r="B1922" s="8" t="s">
        <v>5989</v>
      </c>
      <c r="C1922" s="8" t="n">
        <v>2002</v>
      </c>
      <c r="D1922" s="8" t="s">
        <v>58</v>
      </c>
      <c r="E1922" s="8"/>
      <c r="F1922" s="8" t="s">
        <v>782</v>
      </c>
      <c r="G1922" s="8" t="s">
        <v>783</v>
      </c>
      <c r="H1922" s="8" t="s">
        <v>861</v>
      </c>
    </row>
    <row r="1923" customFormat="false" ht="15" hidden="false" customHeight="false" outlineLevel="0" collapsed="false">
      <c r="A1923" s="8" t="s">
        <v>5990</v>
      </c>
      <c r="B1923" s="8" t="s">
        <v>5991</v>
      </c>
      <c r="C1923" s="8" t="n">
        <v>1994</v>
      </c>
      <c r="D1923" s="8" t="s">
        <v>83</v>
      </c>
      <c r="E1923" s="8" t="s">
        <v>5992</v>
      </c>
      <c r="F1923" s="8" t="s">
        <v>782</v>
      </c>
      <c r="G1923" s="8" t="s">
        <v>783</v>
      </c>
      <c r="H1923" s="8" t="s">
        <v>784</v>
      </c>
    </row>
    <row r="1924" customFormat="false" ht="15" hidden="false" customHeight="false" outlineLevel="0" collapsed="false">
      <c r="A1924" s="8" t="s">
        <v>5993</v>
      </c>
      <c r="B1924" s="8" t="s">
        <v>5994</v>
      </c>
      <c r="C1924" s="8" t="n">
        <v>1995</v>
      </c>
      <c r="D1924" s="8" t="s">
        <v>83</v>
      </c>
      <c r="E1924" s="8" t="s">
        <v>5995</v>
      </c>
      <c r="F1924" s="8" t="s">
        <v>782</v>
      </c>
      <c r="G1924" s="8" t="s">
        <v>783</v>
      </c>
      <c r="H1924" s="8" t="s">
        <v>784</v>
      </c>
    </row>
    <row r="1925" customFormat="false" ht="15" hidden="false" customHeight="false" outlineLevel="0" collapsed="false">
      <c r="A1925" s="8" t="s">
        <v>5996</v>
      </c>
      <c r="B1925" s="8" t="s">
        <v>5997</v>
      </c>
      <c r="C1925" s="8" t="n">
        <v>2003</v>
      </c>
      <c r="D1925" s="8" t="s">
        <v>58</v>
      </c>
      <c r="E1925" s="8"/>
      <c r="F1925" s="8" t="s">
        <v>782</v>
      </c>
      <c r="G1925" s="8" t="s">
        <v>783</v>
      </c>
      <c r="H1925" s="8" t="s">
        <v>861</v>
      </c>
    </row>
    <row r="1926" customFormat="false" ht="15" hidden="false" customHeight="false" outlineLevel="0" collapsed="false">
      <c r="A1926" s="8" t="s">
        <v>5998</v>
      </c>
      <c r="B1926" s="8" t="s">
        <v>5999</v>
      </c>
      <c r="C1926" s="8" t="n">
        <v>1991</v>
      </c>
      <c r="D1926" s="8" t="s">
        <v>58</v>
      </c>
      <c r="E1926" s="8" t="s">
        <v>6000</v>
      </c>
      <c r="F1926" s="8" t="s">
        <v>782</v>
      </c>
      <c r="G1926" s="8" t="s">
        <v>801</v>
      </c>
      <c r="H1926" s="8" t="s">
        <v>915</v>
      </c>
    </row>
    <row r="1927" customFormat="false" ht="15" hidden="false" customHeight="false" outlineLevel="0" collapsed="false">
      <c r="A1927" s="8" t="s">
        <v>6001</v>
      </c>
      <c r="B1927" s="8" t="s">
        <v>6002</v>
      </c>
      <c r="C1927" s="8" t="n">
        <v>1988</v>
      </c>
      <c r="D1927" s="8" t="s">
        <v>58</v>
      </c>
      <c r="E1927" s="8" t="s">
        <v>6003</v>
      </c>
      <c r="F1927" s="8" t="s">
        <v>782</v>
      </c>
      <c r="G1927" s="8" t="s">
        <v>783</v>
      </c>
      <c r="H1927" s="8" t="s">
        <v>784</v>
      </c>
    </row>
    <row r="1928" customFormat="false" ht="15" hidden="false" customHeight="false" outlineLevel="0" collapsed="false">
      <c r="A1928" s="8" t="s">
        <v>6004</v>
      </c>
      <c r="B1928" s="8" t="s">
        <v>6005</v>
      </c>
      <c r="C1928" s="8" t="n">
        <v>2003</v>
      </c>
      <c r="D1928" s="8" t="s">
        <v>58</v>
      </c>
      <c r="E1928" s="8"/>
      <c r="F1928" s="8" t="s">
        <v>782</v>
      </c>
      <c r="G1928" s="8" t="s">
        <v>801</v>
      </c>
      <c r="H1928" s="8" t="s">
        <v>915</v>
      </c>
    </row>
    <row r="1929" customFormat="false" ht="15" hidden="false" customHeight="false" outlineLevel="0" collapsed="false">
      <c r="A1929" s="8" t="s">
        <v>6006</v>
      </c>
      <c r="B1929" s="8" t="s">
        <v>6007</v>
      </c>
      <c r="C1929" s="8" t="n">
        <v>1996</v>
      </c>
      <c r="D1929" s="8" t="s">
        <v>58</v>
      </c>
      <c r="E1929" s="8" t="s">
        <v>6008</v>
      </c>
      <c r="F1929" s="8" t="s">
        <v>782</v>
      </c>
      <c r="G1929" s="8" t="s">
        <v>783</v>
      </c>
      <c r="H1929" s="8" t="s">
        <v>784</v>
      </c>
    </row>
    <row r="1930" customFormat="false" ht="15" hidden="false" customHeight="false" outlineLevel="0" collapsed="false">
      <c r="A1930" s="8" t="s">
        <v>6009</v>
      </c>
      <c r="B1930" s="8" t="s">
        <v>6010</v>
      </c>
      <c r="C1930" s="8" t="n">
        <v>1996</v>
      </c>
      <c r="D1930" s="8" t="s">
        <v>58</v>
      </c>
      <c r="E1930" s="8"/>
      <c r="F1930" s="8" t="s">
        <v>782</v>
      </c>
      <c r="G1930" s="8" t="s">
        <v>783</v>
      </c>
      <c r="H1930" s="8" t="s">
        <v>784</v>
      </c>
    </row>
    <row r="1931" customFormat="false" ht="15" hidden="false" customHeight="false" outlineLevel="0" collapsed="false">
      <c r="A1931" s="8" t="s">
        <v>6011</v>
      </c>
      <c r="B1931" s="8" t="s">
        <v>6012</v>
      </c>
      <c r="C1931" s="8" t="n">
        <v>1989</v>
      </c>
      <c r="D1931" s="8" t="s">
        <v>58</v>
      </c>
      <c r="E1931" s="8" t="s">
        <v>6013</v>
      </c>
      <c r="F1931" s="8" t="s">
        <v>782</v>
      </c>
      <c r="G1931" s="8" t="s">
        <v>801</v>
      </c>
      <c r="H1931" s="8" t="s">
        <v>802</v>
      </c>
    </row>
    <row r="1932" customFormat="false" ht="15" hidden="false" customHeight="false" outlineLevel="0" collapsed="false">
      <c r="A1932" s="8" t="s">
        <v>6014</v>
      </c>
      <c r="B1932" s="8" t="s">
        <v>6015</v>
      </c>
      <c r="C1932" s="8" t="n">
        <v>1992</v>
      </c>
      <c r="D1932" s="8" t="s">
        <v>58</v>
      </c>
      <c r="E1932" s="8" t="s">
        <v>6016</v>
      </c>
      <c r="F1932" s="8" t="s">
        <v>782</v>
      </c>
      <c r="G1932" s="8" t="s">
        <v>801</v>
      </c>
      <c r="H1932" s="8" t="s">
        <v>802</v>
      </c>
    </row>
    <row r="1933" customFormat="false" ht="15" hidden="false" customHeight="false" outlineLevel="0" collapsed="false">
      <c r="A1933" s="8" t="s">
        <v>6017</v>
      </c>
      <c r="B1933" s="8" t="s">
        <v>6018</v>
      </c>
      <c r="C1933" s="8" t="n">
        <v>1997</v>
      </c>
      <c r="D1933" s="8" t="s">
        <v>83</v>
      </c>
      <c r="E1933" s="8" t="s">
        <v>6019</v>
      </c>
      <c r="F1933" s="8" t="s">
        <v>782</v>
      </c>
      <c r="G1933" s="8" t="s">
        <v>783</v>
      </c>
      <c r="H1933" s="8" t="s">
        <v>784</v>
      </c>
    </row>
    <row r="1934" customFormat="false" ht="15" hidden="false" customHeight="false" outlineLevel="0" collapsed="false">
      <c r="A1934" s="8" t="s">
        <v>6020</v>
      </c>
      <c r="B1934" s="8" t="s">
        <v>6021</v>
      </c>
      <c r="C1934" s="8" t="n">
        <v>2002</v>
      </c>
      <c r="D1934" s="8" t="s">
        <v>58</v>
      </c>
      <c r="E1934" s="8" t="s">
        <v>6022</v>
      </c>
      <c r="F1934" s="8" t="s">
        <v>782</v>
      </c>
      <c r="G1934" s="8" t="s">
        <v>801</v>
      </c>
      <c r="H1934" s="8" t="s">
        <v>915</v>
      </c>
    </row>
    <row r="1935" customFormat="false" ht="15" hidden="false" customHeight="false" outlineLevel="0" collapsed="false">
      <c r="A1935" s="8" t="s">
        <v>6023</v>
      </c>
      <c r="B1935" s="8" t="s">
        <v>6024</v>
      </c>
      <c r="C1935" s="8" t="n">
        <v>2000</v>
      </c>
      <c r="D1935" s="8" t="s">
        <v>58</v>
      </c>
      <c r="E1935" s="8" t="s">
        <v>6025</v>
      </c>
      <c r="F1935" s="8" t="s">
        <v>782</v>
      </c>
      <c r="G1935" s="8" t="s">
        <v>783</v>
      </c>
      <c r="H1935" s="8" t="s">
        <v>784</v>
      </c>
    </row>
    <row r="1936" customFormat="false" ht="15" hidden="false" customHeight="false" outlineLevel="0" collapsed="false">
      <c r="A1936" s="8" t="s">
        <v>6026</v>
      </c>
      <c r="B1936" s="8" t="s">
        <v>6027</v>
      </c>
      <c r="C1936" s="8" t="n">
        <v>2000</v>
      </c>
      <c r="D1936" s="8" t="s">
        <v>58</v>
      </c>
      <c r="E1936" s="8"/>
      <c r="F1936" s="8" t="s">
        <v>782</v>
      </c>
      <c r="G1936" s="8" t="s">
        <v>801</v>
      </c>
      <c r="H1936" s="8" t="s">
        <v>802</v>
      </c>
    </row>
    <row r="1937" customFormat="false" ht="15" hidden="false" customHeight="false" outlineLevel="0" collapsed="false">
      <c r="A1937" s="8" t="s">
        <v>6028</v>
      </c>
      <c r="B1937" s="8" t="s">
        <v>6029</v>
      </c>
      <c r="C1937" s="8" t="n">
        <v>1993</v>
      </c>
      <c r="D1937" s="8" t="s">
        <v>58</v>
      </c>
      <c r="E1937" s="8" t="s">
        <v>6030</v>
      </c>
      <c r="F1937" s="8" t="s">
        <v>782</v>
      </c>
      <c r="G1937" s="8" t="s">
        <v>783</v>
      </c>
      <c r="H1937" s="8" t="s">
        <v>784</v>
      </c>
    </row>
    <row r="1938" customFormat="false" ht="15" hidden="false" customHeight="false" outlineLevel="0" collapsed="false">
      <c r="A1938" s="8" t="s">
        <v>6031</v>
      </c>
      <c r="B1938" s="8" t="s">
        <v>6032</v>
      </c>
      <c r="C1938" s="8" t="n">
        <v>2000</v>
      </c>
      <c r="D1938" s="8" t="s">
        <v>83</v>
      </c>
      <c r="E1938" s="8"/>
      <c r="F1938" s="8" t="s">
        <v>782</v>
      </c>
      <c r="G1938" s="8" t="s">
        <v>783</v>
      </c>
      <c r="H1938" s="8" t="s">
        <v>784</v>
      </c>
    </row>
    <row r="1939" customFormat="false" ht="15" hidden="false" customHeight="false" outlineLevel="0" collapsed="false">
      <c r="A1939" s="8" t="s">
        <v>6033</v>
      </c>
      <c r="B1939" s="8" t="s">
        <v>6034</v>
      </c>
      <c r="C1939" s="8" t="n">
        <v>1998</v>
      </c>
      <c r="D1939" s="8" t="s">
        <v>58</v>
      </c>
      <c r="E1939" s="8" t="s">
        <v>6035</v>
      </c>
      <c r="F1939" s="8" t="s">
        <v>782</v>
      </c>
      <c r="G1939" s="8" t="s">
        <v>783</v>
      </c>
      <c r="H1939" s="8" t="s">
        <v>784</v>
      </c>
    </row>
    <row r="1940" customFormat="false" ht="15" hidden="false" customHeight="false" outlineLevel="0" collapsed="false">
      <c r="A1940" s="8" t="s">
        <v>6036</v>
      </c>
      <c r="B1940" s="8" t="s">
        <v>6037</v>
      </c>
      <c r="C1940" s="8" t="n">
        <v>2000</v>
      </c>
      <c r="D1940" s="8" t="s">
        <v>58</v>
      </c>
      <c r="E1940" s="8" t="s">
        <v>6038</v>
      </c>
      <c r="F1940" s="8" t="s">
        <v>782</v>
      </c>
      <c r="G1940" s="8" t="s">
        <v>801</v>
      </c>
      <c r="H1940" s="8" t="s">
        <v>915</v>
      </c>
    </row>
    <row r="1941" customFormat="false" ht="15" hidden="false" customHeight="false" outlineLevel="0" collapsed="false">
      <c r="A1941" s="8" t="s">
        <v>6039</v>
      </c>
      <c r="B1941" s="8" t="s">
        <v>6040</v>
      </c>
      <c r="C1941" s="8" t="n">
        <v>1997</v>
      </c>
      <c r="D1941" s="8" t="s">
        <v>83</v>
      </c>
      <c r="E1941" s="8" t="s">
        <v>6041</v>
      </c>
      <c r="F1941" s="8" t="s">
        <v>782</v>
      </c>
      <c r="G1941" s="8" t="s">
        <v>801</v>
      </c>
      <c r="H1941" s="8" t="s">
        <v>915</v>
      </c>
    </row>
    <row r="1942" customFormat="false" ht="15" hidden="false" customHeight="false" outlineLevel="0" collapsed="false">
      <c r="A1942" s="8" t="s">
        <v>6042</v>
      </c>
      <c r="B1942" s="8" t="s">
        <v>6043</v>
      </c>
      <c r="C1942" s="8" t="n">
        <v>1987</v>
      </c>
      <c r="D1942" s="8" t="s">
        <v>58</v>
      </c>
      <c r="E1942" s="8"/>
      <c r="F1942" s="8" t="s">
        <v>782</v>
      </c>
      <c r="G1942" s="8" t="s">
        <v>783</v>
      </c>
      <c r="H1942" s="8" t="s">
        <v>784</v>
      </c>
    </row>
    <row r="1943" customFormat="false" ht="15" hidden="false" customHeight="false" outlineLevel="0" collapsed="false">
      <c r="A1943" s="8" t="s">
        <v>6044</v>
      </c>
      <c r="B1943" s="8" t="s">
        <v>6045</v>
      </c>
      <c r="C1943" s="8" t="n">
        <v>2004</v>
      </c>
      <c r="D1943" s="8" t="s">
        <v>58</v>
      </c>
      <c r="E1943" s="8"/>
      <c r="F1943" s="8" t="s">
        <v>782</v>
      </c>
      <c r="G1943" s="8" t="s">
        <v>801</v>
      </c>
      <c r="H1943" s="8" t="s">
        <v>802</v>
      </c>
    </row>
    <row r="1944" customFormat="false" ht="15" hidden="false" customHeight="false" outlineLevel="0" collapsed="false">
      <c r="A1944" s="8" t="s">
        <v>6046</v>
      </c>
      <c r="B1944" s="8" t="s">
        <v>6047</v>
      </c>
      <c r="C1944" s="8" t="n">
        <v>2003</v>
      </c>
      <c r="D1944" s="8" t="s">
        <v>74</v>
      </c>
      <c r="E1944" s="8"/>
      <c r="F1944" s="8" t="s">
        <v>782</v>
      </c>
      <c r="G1944" s="8" t="s">
        <v>783</v>
      </c>
      <c r="H1944" s="8" t="s">
        <v>784</v>
      </c>
    </row>
    <row r="1945" customFormat="false" ht="15" hidden="false" customHeight="false" outlineLevel="0" collapsed="false">
      <c r="A1945" s="8" t="s">
        <v>6048</v>
      </c>
      <c r="B1945" s="8" t="s">
        <v>6049</v>
      </c>
      <c r="C1945" s="8" t="n">
        <v>1995</v>
      </c>
      <c r="D1945" s="8" t="s">
        <v>58</v>
      </c>
      <c r="E1945" s="8"/>
      <c r="F1945" s="8" t="s">
        <v>782</v>
      </c>
      <c r="G1945" s="8" t="s">
        <v>783</v>
      </c>
      <c r="H1945" s="8" t="s">
        <v>784</v>
      </c>
    </row>
    <row r="1946" customFormat="false" ht="15" hidden="false" customHeight="false" outlineLevel="0" collapsed="false">
      <c r="A1946" s="8" t="s">
        <v>6050</v>
      </c>
      <c r="B1946" s="8" t="s">
        <v>6051</v>
      </c>
      <c r="C1946" s="8" t="n">
        <v>1999</v>
      </c>
      <c r="D1946" s="8" t="s">
        <v>58</v>
      </c>
      <c r="E1946" s="8" t="s">
        <v>6052</v>
      </c>
      <c r="F1946" s="8" t="s">
        <v>782</v>
      </c>
      <c r="G1946" s="8" t="s">
        <v>801</v>
      </c>
      <c r="H1946" s="8" t="s">
        <v>915</v>
      </c>
    </row>
    <row r="1947" customFormat="false" ht="15" hidden="false" customHeight="false" outlineLevel="0" collapsed="false">
      <c r="A1947" s="8" t="s">
        <v>6053</v>
      </c>
      <c r="B1947" s="8" t="s">
        <v>6054</v>
      </c>
      <c r="C1947" s="8" t="n">
        <v>2001</v>
      </c>
      <c r="D1947" s="8" t="s">
        <v>83</v>
      </c>
      <c r="E1947" s="8" t="s">
        <v>6055</v>
      </c>
      <c r="F1947" s="8" t="s">
        <v>782</v>
      </c>
      <c r="G1947" s="8" t="s">
        <v>783</v>
      </c>
      <c r="H1947" s="8" t="s">
        <v>784</v>
      </c>
    </row>
    <row r="1948" customFormat="false" ht="15" hidden="false" customHeight="false" outlineLevel="0" collapsed="false">
      <c r="A1948" s="8" t="s">
        <v>6056</v>
      </c>
      <c r="B1948" s="8" t="s">
        <v>6057</v>
      </c>
      <c r="C1948" s="8" t="n">
        <v>1991</v>
      </c>
      <c r="D1948" s="8" t="s">
        <v>83</v>
      </c>
      <c r="E1948" s="8" t="s">
        <v>6058</v>
      </c>
      <c r="F1948" s="8" t="s">
        <v>782</v>
      </c>
      <c r="G1948" s="8" t="s">
        <v>783</v>
      </c>
      <c r="H1948" s="8" t="s">
        <v>784</v>
      </c>
    </row>
    <row r="1949" customFormat="false" ht="15" hidden="false" customHeight="false" outlineLevel="0" collapsed="false">
      <c r="A1949" s="8" t="s">
        <v>6059</v>
      </c>
      <c r="B1949" s="8" t="s">
        <v>6060</v>
      </c>
      <c r="C1949" s="8" t="n">
        <v>1990</v>
      </c>
      <c r="D1949" s="8" t="s">
        <v>58</v>
      </c>
      <c r="E1949" s="8"/>
      <c r="F1949" s="8" t="s">
        <v>782</v>
      </c>
      <c r="G1949" s="8" t="s">
        <v>783</v>
      </c>
      <c r="H1949" s="8" t="s">
        <v>784</v>
      </c>
    </row>
    <row r="1950" customFormat="false" ht="15" hidden="false" customHeight="false" outlineLevel="0" collapsed="false">
      <c r="A1950" s="8" t="s">
        <v>6061</v>
      </c>
      <c r="B1950" s="8" t="s">
        <v>6062</v>
      </c>
      <c r="C1950" s="8" t="n">
        <v>1994</v>
      </c>
      <c r="D1950" s="8" t="s">
        <v>83</v>
      </c>
      <c r="E1950" s="8" t="s">
        <v>6063</v>
      </c>
      <c r="F1950" s="8" t="s">
        <v>782</v>
      </c>
      <c r="G1950" s="8" t="s">
        <v>783</v>
      </c>
      <c r="H1950" s="8" t="s">
        <v>784</v>
      </c>
    </row>
    <row r="1951" customFormat="false" ht="15" hidden="false" customHeight="false" outlineLevel="0" collapsed="false">
      <c r="A1951" s="8" t="s">
        <v>6064</v>
      </c>
      <c r="B1951" s="8" t="s">
        <v>6065</v>
      </c>
      <c r="C1951" s="8" t="n">
        <v>1990</v>
      </c>
      <c r="D1951" s="8" t="s">
        <v>58</v>
      </c>
      <c r="E1951" s="8"/>
      <c r="F1951" s="8" t="s">
        <v>782</v>
      </c>
      <c r="G1951" s="8" t="s">
        <v>783</v>
      </c>
      <c r="H1951" s="8" t="s">
        <v>784</v>
      </c>
    </row>
    <row r="1952" customFormat="false" ht="15" hidden="false" customHeight="false" outlineLevel="0" collapsed="false">
      <c r="A1952" s="8" t="s">
        <v>6066</v>
      </c>
      <c r="B1952" s="8" t="s">
        <v>6067</v>
      </c>
      <c r="C1952" s="8" t="n">
        <v>1996</v>
      </c>
      <c r="D1952" s="8" t="s">
        <v>58</v>
      </c>
      <c r="E1952" s="8" t="s">
        <v>6068</v>
      </c>
      <c r="F1952" s="8" t="s">
        <v>782</v>
      </c>
      <c r="G1952" s="8" t="s">
        <v>801</v>
      </c>
      <c r="H1952" s="8" t="s">
        <v>915</v>
      </c>
    </row>
    <row r="1953" customFormat="false" ht="15" hidden="false" customHeight="false" outlineLevel="0" collapsed="false">
      <c r="A1953" s="8" t="s">
        <v>6069</v>
      </c>
      <c r="B1953" s="8" t="s">
        <v>6070</v>
      </c>
      <c r="C1953" s="8" t="n">
        <v>1996</v>
      </c>
      <c r="D1953" s="8" t="s">
        <v>58</v>
      </c>
      <c r="E1953" s="8" t="s">
        <v>6071</v>
      </c>
      <c r="F1953" s="8" t="s">
        <v>782</v>
      </c>
      <c r="G1953" s="8" t="s">
        <v>783</v>
      </c>
      <c r="H1953" s="8" t="s">
        <v>784</v>
      </c>
    </row>
    <row r="1954" customFormat="false" ht="15" hidden="false" customHeight="false" outlineLevel="0" collapsed="false">
      <c r="A1954" s="8" t="s">
        <v>6072</v>
      </c>
      <c r="B1954" s="8" t="s">
        <v>6073</v>
      </c>
      <c r="C1954" s="8" t="n">
        <v>1986</v>
      </c>
      <c r="D1954" s="8" t="s">
        <v>58</v>
      </c>
      <c r="E1954" s="8"/>
      <c r="F1954" s="8" t="s">
        <v>782</v>
      </c>
      <c r="G1954" s="8" t="s">
        <v>783</v>
      </c>
      <c r="H1954" s="8" t="s">
        <v>784</v>
      </c>
    </row>
    <row r="1955" customFormat="false" ht="15" hidden="false" customHeight="false" outlineLevel="0" collapsed="false">
      <c r="A1955" s="8" t="s">
        <v>6074</v>
      </c>
      <c r="B1955" s="8" t="s">
        <v>6075</v>
      </c>
      <c r="C1955" s="8" t="n">
        <v>1997</v>
      </c>
      <c r="D1955" s="8" t="s">
        <v>58</v>
      </c>
      <c r="E1955" s="8"/>
      <c r="F1955" s="8" t="s">
        <v>782</v>
      </c>
      <c r="G1955" s="8" t="s">
        <v>783</v>
      </c>
      <c r="H1955" s="8" t="s">
        <v>784</v>
      </c>
    </row>
    <row r="1956" customFormat="false" ht="15" hidden="false" customHeight="false" outlineLevel="0" collapsed="false">
      <c r="A1956" s="8" t="s">
        <v>6076</v>
      </c>
      <c r="B1956" s="8" t="s">
        <v>6077</v>
      </c>
      <c r="C1956" s="8" t="n">
        <v>1987</v>
      </c>
      <c r="D1956" s="8" t="s">
        <v>83</v>
      </c>
      <c r="E1956" s="8" t="s">
        <v>6078</v>
      </c>
      <c r="F1956" s="8" t="s">
        <v>782</v>
      </c>
      <c r="G1956" s="8" t="s">
        <v>783</v>
      </c>
      <c r="H1956" s="8" t="s">
        <v>784</v>
      </c>
    </row>
    <row r="1957" customFormat="false" ht="15" hidden="false" customHeight="false" outlineLevel="0" collapsed="false">
      <c r="A1957" s="8" t="s">
        <v>6079</v>
      </c>
      <c r="B1957" s="8" t="s">
        <v>6080</v>
      </c>
      <c r="C1957" s="8" t="n">
        <v>1996</v>
      </c>
      <c r="D1957" s="8" t="s">
        <v>58</v>
      </c>
      <c r="E1957" s="8"/>
      <c r="F1957" s="8" t="s">
        <v>782</v>
      </c>
      <c r="G1957" s="8" t="s">
        <v>783</v>
      </c>
      <c r="H1957" s="8" t="s">
        <v>784</v>
      </c>
    </row>
    <row r="1958" customFormat="false" ht="15" hidden="false" customHeight="false" outlineLevel="0" collapsed="false">
      <c r="A1958" s="8" t="s">
        <v>6081</v>
      </c>
      <c r="B1958" s="8" t="s">
        <v>6082</v>
      </c>
      <c r="C1958" s="8" t="n">
        <v>1988</v>
      </c>
      <c r="D1958" s="8" t="s">
        <v>58</v>
      </c>
      <c r="E1958" s="8"/>
      <c r="F1958" s="8" t="s">
        <v>782</v>
      </c>
      <c r="G1958" s="8" t="s">
        <v>783</v>
      </c>
      <c r="H1958" s="8" t="s">
        <v>784</v>
      </c>
    </row>
    <row r="1959" customFormat="false" ht="15" hidden="false" customHeight="false" outlineLevel="0" collapsed="false">
      <c r="A1959" s="8" t="s">
        <v>6083</v>
      </c>
      <c r="B1959" s="8" t="s">
        <v>6084</v>
      </c>
      <c r="C1959" s="8" t="n">
        <v>1999</v>
      </c>
      <c r="D1959" s="8" t="s">
        <v>58</v>
      </c>
      <c r="E1959" s="8"/>
      <c r="F1959" s="8" t="s">
        <v>782</v>
      </c>
      <c r="G1959" s="8" t="s">
        <v>801</v>
      </c>
      <c r="H1959" s="8" t="s">
        <v>915</v>
      </c>
    </row>
    <row r="1960" customFormat="false" ht="15" hidden="false" customHeight="false" outlineLevel="0" collapsed="false">
      <c r="A1960" s="8" t="s">
        <v>6085</v>
      </c>
      <c r="B1960" s="8" t="s">
        <v>6086</v>
      </c>
      <c r="C1960" s="8" t="n">
        <v>2003</v>
      </c>
      <c r="D1960" s="8" t="s">
        <v>74</v>
      </c>
      <c r="E1960" s="8" t="s">
        <v>6087</v>
      </c>
      <c r="F1960" s="8" t="s">
        <v>782</v>
      </c>
      <c r="G1960" s="8" t="s">
        <v>783</v>
      </c>
      <c r="H1960" s="8" t="s">
        <v>784</v>
      </c>
    </row>
    <row r="1961" customFormat="false" ht="15" hidden="false" customHeight="false" outlineLevel="0" collapsed="false">
      <c r="A1961" s="8" t="s">
        <v>6088</v>
      </c>
      <c r="B1961" s="8" t="s">
        <v>6089</v>
      </c>
      <c r="C1961" s="8" t="n">
        <v>1987</v>
      </c>
      <c r="D1961" s="8" t="s">
        <v>58</v>
      </c>
      <c r="E1961" s="8"/>
      <c r="F1961" s="8" t="s">
        <v>782</v>
      </c>
      <c r="G1961" s="8" t="s">
        <v>783</v>
      </c>
      <c r="H1961" s="8" t="s">
        <v>784</v>
      </c>
    </row>
    <row r="1962" customFormat="false" ht="15" hidden="false" customHeight="false" outlineLevel="0" collapsed="false">
      <c r="A1962" s="8" t="s">
        <v>6090</v>
      </c>
      <c r="B1962" s="8" t="s">
        <v>6091</v>
      </c>
      <c r="C1962" s="8" t="n">
        <v>2000</v>
      </c>
      <c r="D1962" s="8" t="s">
        <v>58</v>
      </c>
      <c r="E1962" s="8" t="s">
        <v>6092</v>
      </c>
      <c r="F1962" s="8" t="s">
        <v>782</v>
      </c>
      <c r="G1962" s="8" t="s">
        <v>783</v>
      </c>
      <c r="H1962" s="8" t="s">
        <v>784</v>
      </c>
    </row>
    <row r="1963" customFormat="false" ht="15" hidden="false" customHeight="false" outlineLevel="0" collapsed="false">
      <c r="A1963" s="8" t="s">
        <v>6093</v>
      </c>
      <c r="B1963" s="8" t="s">
        <v>6094</v>
      </c>
      <c r="C1963" s="8" t="n">
        <v>1996</v>
      </c>
      <c r="D1963" s="8" t="s">
        <v>58</v>
      </c>
      <c r="E1963" s="8" t="s">
        <v>6095</v>
      </c>
      <c r="F1963" s="8" t="s">
        <v>782</v>
      </c>
      <c r="G1963" s="8" t="s">
        <v>783</v>
      </c>
      <c r="H1963" s="8" t="s">
        <v>784</v>
      </c>
    </row>
    <row r="1964" customFormat="false" ht="15" hidden="false" customHeight="false" outlineLevel="0" collapsed="false">
      <c r="A1964" s="8" t="s">
        <v>6096</v>
      </c>
      <c r="B1964" s="8" t="s">
        <v>6097</v>
      </c>
      <c r="C1964" s="8" t="n">
        <v>2000</v>
      </c>
      <c r="D1964" s="8" t="s">
        <v>83</v>
      </c>
      <c r="E1964" s="8"/>
      <c r="F1964" s="8" t="s">
        <v>782</v>
      </c>
      <c r="G1964" s="8" t="s">
        <v>783</v>
      </c>
      <c r="H1964" s="8" t="s">
        <v>861</v>
      </c>
    </row>
    <row r="1965" customFormat="false" ht="15" hidden="false" customHeight="false" outlineLevel="0" collapsed="false">
      <c r="A1965" s="8" t="s">
        <v>6098</v>
      </c>
      <c r="B1965" s="8" t="s">
        <v>6099</v>
      </c>
      <c r="C1965" s="8" t="n">
        <v>1993</v>
      </c>
      <c r="D1965" s="8" t="s">
        <v>83</v>
      </c>
      <c r="E1965" s="8" t="s">
        <v>6100</v>
      </c>
      <c r="F1965" s="8" t="s">
        <v>782</v>
      </c>
      <c r="G1965" s="8" t="s">
        <v>783</v>
      </c>
      <c r="H1965" s="8" t="s">
        <v>784</v>
      </c>
    </row>
    <row r="1966" customFormat="false" ht="15" hidden="false" customHeight="false" outlineLevel="0" collapsed="false">
      <c r="A1966" s="8" t="s">
        <v>6101</v>
      </c>
      <c r="B1966" s="8" t="s">
        <v>6102</v>
      </c>
      <c r="C1966" s="8" t="n">
        <v>2003</v>
      </c>
      <c r="D1966" s="8" t="s">
        <v>58</v>
      </c>
      <c r="E1966" s="8"/>
      <c r="F1966" s="8" t="s">
        <v>782</v>
      </c>
      <c r="G1966" s="8" t="s">
        <v>783</v>
      </c>
      <c r="H1966" s="8" t="s">
        <v>784</v>
      </c>
    </row>
    <row r="1967" customFormat="false" ht="15" hidden="false" customHeight="false" outlineLevel="0" collapsed="false">
      <c r="A1967" s="8" t="s">
        <v>6103</v>
      </c>
      <c r="B1967" s="8" t="s">
        <v>6104</v>
      </c>
      <c r="C1967" s="8" t="n">
        <v>1996</v>
      </c>
      <c r="D1967" s="8" t="s">
        <v>83</v>
      </c>
      <c r="E1967" s="8" t="s">
        <v>6105</v>
      </c>
      <c r="F1967" s="8" t="s">
        <v>782</v>
      </c>
      <c r="G1967" s="8" t="s">
        <v>783</v>
      </c>
      <c r="H1967" s="8" t="s">
        <v>861</v>
      </c>
    </row>
    <row r="1968" customFormat="false" ht="15" hidden="false" customHeight="false" outlineLevel="0" collapsed="false">
      <c r="A1968" s="8" t="s">
        <v>6106</v>
      </c>
      <c r="B1968" s="8" t="s">
        <v>6107</v>
      </c>
      <c r="C1968" s="8" t="n">
        <v>1994</v>
      </c>
      <c r="D1968" s="8" t="s">
        <v>58</v>
      </c>
      <c r="E1968" s="8" t="s">
        <v>6108</v>
      </c>
      <c r="F1968" s="8" t="s">
        <v>782</v>
      </c>
      <c r="G1968" s="8" t="s">
        <v>801</v>
      </c>
      <c r="H1968" s="8" t="s">
        <v>915</v>
      </c>
    </row>
    <row r="1969" customFormat="false" ht="15" hidden="false" customHeight="false" outlineLevel="0" collapsed="false">
      <c r="A1969" s="8" t="s">
        <v>6109</v>
      </c>
      <c r="B1969" s="8" t="s">
        <v>6110</v>
      </c>
      <c r="C1969" s="8" t="n">
        <v>2003</v>
      </c>
      <c r="D1969" s="8" t="s">
        <v>58</v>
      </c>
      <c r="E1969" s="8"/>
      <c r="F1969" s="8" t="s">
        <v>782</v>
      </c>
      <c r="G1969" s="8" t="s">
        <v>801</v>
      </c>
      <c r="H1969" s="8" t="s">
        <v>802</v>
      </c>
    </row>
    <row r="1970" customFormat="false" ht="15" hidden="false" customHeight="false" outlineLevel="0" collapsed="false">
      <c r="A1970" s="8" t="s">
        <v>6111</v>
      </c>
      <c r="B1970" s="8" t="s">
        <v>6112</v>
      </c>
      <c r="C1970" s="8" t="n">
        <v>2003</v>
      </c>
      <c r="D1970" s="8" t="s">
        <v>58</v>
      </c>
      <c r="E1970" s="8" t="s">
        <v>6113</v>
      </c>
      <c r="F1970" s="8" t="s">
        <v>782</v>
      </c>
      <c r="G1970" s="8" t="s">
        <v>783</v>
      </c>
      <c r="H1970" s="8" t="s">
        <v>784</v>
      </c>
    </row>
    <row r="1971" customFormat="false" ht="15" hidden="false" customHeight="false" outlineLevel="0" collapsed="false">
      <c r="A1971" s="8" t="s">
        <v>6114</v>
      </c>
      <c r="B1971" s="8" t="s">
        <v>6115</v>
      </c>
      <c r="C1971" s="8" t="n">
        <v>1998</v>
      </c>
      <c r="D1971" s="8" t="s">
        <v>58</v>
      </c>
      <c r="E1971" s="8" t="s">
        <v>6116</v>
      </c>
      <c r="F1971" s="8" t="s">
        <v>782</v>
      </c>
      <c r="G1971" s="8" t="s">
        <v>801</v>
      </c>
      <c r="H1971" s="8" t="s">
        <v>915</v>
      </c>
    </row>
    <row r="1972" customFormat="false" ht="15" hidden="false" customHeight="false" outlineLevel="0" collapsed="false">
      <c r="A1972" s="8" t="s">
        <v>6117</v>
      </c>
      <c r="B1972" s="8" t="s">
        <v>6118</v>
      </c>
      <c r="C1972" s="8" t="n">
        <v>2001</v>
      </c>
      <c r="D1972" s="8" t="s">
        <v>83</v>
      </c>
      <c r="E1972" s="8"/>
      <c r="F1972" s="8" t="s">
        <v>782</v>
      </c>
      <c r="G1972" s="8" t="s">
        <v>783</v>
      </c>
      <c r="H1972" s="8" t="s">
        <v>784</v>
      </c>
    </row>
    <row r="1973" customFormat="false" ht="15" hidden="false" customHeight="false" outlineLevel="0" collapsed="false">
      <c r="A1973" s="8" t="s">
        <v>6119</v>
      </c>
      <c r="B1973" s="8" t="s">
        <v>6120</v>
      </c>
      <c r="C1973" s="8" t="n">
        <v>1997</v>
      </c>
      <c r="D1973" s="8" t="s">
        <v>58</v>
      </c>
      <c r="E1973" s="8"/>
      <c r="F1973" s="8" t="s">
        <v>782</v>
      </c>
      <c r="G1973" s="8" t="s">
        <v>783</v>
      </c>
      <c r="H1973" s="8" t="s">
        <v>784</v>
      </c>
    </row>
    <row r="1974" customFormat="false" ht="15" hidden="false" customHeight="false" outlineLevel="0" collapsed="false">
      <c r="A1974" s="8" t="s">
        <v>6121</v>
      </c>
      <c r="B1974" s="8" t="s">
        <v>6122</v>
      </c>
      <c r="C1974" s="8" t="n">
        <v>1996</v>
      </c>
      <c r="D1974" s="8" t="s">
        <v>74</v>
      </c>
      <c r="E1974" s="8"/>
      <c r="F1974" s="8" t="s">
        <v>782</v>
      </c>
      <c r="G1974" s="8" t="s">
        <v>783</v>
      </c>
      <c r="H1974" s="8" t="s">
        <v>861</v>
      </c>
    </row>
    <row r="1975" customFormat="false" ht="15" hidden="false" customHeight="false" outlineLevel="0" collapsed="false">
      <c r="A1975" s="8" t="s">
        <v>6123</v>
      </c>
      <c r="B1975" s="8" t="s">
        <v>6124</v>
      </c>
      <c r="C1975" s="8" t="n">
        <v>1993</v>
      </c>
      <c r="D1975" s="8" t="s">
        <v>58</v>
      </c>
      <c r="E1975" s="8" t="s">
        <v>6125</v>
      </c>
      <c r="F1975" s="8" t="s">
        <v>782</v>
      </c>
      <c r="G1975" s="8" t="s">
        <v>801</v>
      </c>
      <c r="H1975" s="8" t="s">
        <v>915</v>
      </c>
    </row>
    <row r="1976" customFormat="false" ht="15" hidden="false" customHeight="false" outlineLevel="0" collapsed="false">
      <c r="A1976" s="8" t="s">
        <v>6126</v>
      </c>
      <c r="B1976" s="8" t="s">
        <v>6127</v>
      </c>
      <c r="C1976" s="8" t="n">
        <v>2003</v>
      </c>
      <c r="D1976" s="8" t="s">
        <v>58</v>
      </c>
      <c r="E1976" s="8" t="s">
        <v>6128</v>
      </c>
      <c r="F1976" s="8" t="s">
        <v>782</v>
      </c>
      <c r="G1976" s="8" t="s">
        <v>783</v>
      </c>
      <c r="H1976" s="8" t="s">
        <v>784</v>
      </c>
    </row>
    <row r="1977" customFormat="false" ht="15" hidden="false" customHeight="false" outlineLevel="0" collapsed="false">
      <c r="A1977" s="8" t="s">
        <v>6129</v>
      </c>
      <c r="B1977" s="8" t="s">
        <v>6130</v>
      </c>
      <c r="C1977" s="8" t="n">
        <v>1994</v>
      </c>
      <c r="D1977" s="8" t="s">
        <v>58</v>
      </c>
      <c r="E1977" s="8"/>
      <c r="F1977" s="8" t="s">
        <v>782</v>
      </c>
      <c r="G1977" s="8" t="s">
        <v>783</v>
      </c>
      <c r="H1977" s="8" t="s">
        <v>784</v>
      </c>
    </row>
    <row r="1978" customFormat="false" ht="15" hidden="false" customHeight="false" outlineLevel="0" collapsed="false">
      <c r="A1978" s="8" t="s">
        <v>6131</v>
      </c>
      <c r="B1978" s="8" t="s">
        <v>6132</v>
      </c>
      <c r="C1978" s="8" t="n">
        <v>2001</v>
      </c>
      <c r="D1978" s="8" t="s">
        <v>83</v>
      </c>
      <c r="E1978" s="8" t="s">
        <v>6133</v>
      </c>
      <c r="F1978" s="8" t="s">
        <v>782</v>
      </c>
      <c r="G1978" s="8" t="s">
        <v>783</v>
      </c>
      <c r="H1978" s="8" t="s">
        <v>784</v>
      </c>
    </row>
    <row r="1979" customFormat="false" ht="15" hidden="false" customHeight="false" outlineLevel="0" collapsed="false">
      <c r="A1979" s="8" t="s">
        <v>6134</v>
      </c>
      <c r="B1979" s="8" t="s">
        <v>6135</v>
      </c>
      <c r="C1979" s="8" t="n">
        <v>1991</v>
      </c>
      <c r="D1979" s="8" t="s">
        <v>58</v>
      </c>
      <c r="E1979" s="8" t="s">
        <v>6136</v>
      </c>
      <c r="F1979" s="8" t="s">
        <v>782</v>
      </c>
      <c r="G1979" s="8" t="s">
        <v>801</v>
      </c>
      <c r="H1979" s="8" t="s">
        <v>915</v>
      </c>
    </row>
    <row r="1980" customFormat="false" ht="15" hidden="false" customHeight="false" outlineLevel="0" collapsed="false">
      <c r="A1980" s="8" t="s">
        <v>6137</v>
      </c>
      <c r="B1980" s="8" t="s">
        <v>6138</v>
      </c>
      <c r="C1980" s="8" t="n">
        <v>1961</v>
      </c>
      <c r="D1980" s="8" t="s">
        <v>58</v>
      </c>
      <c r="E1980" s="8" t="s">
        <v>6139</v>
      </c>
      <c r="F1980" s="8" t="s">
        <v>782</v>
      </c>
      <c r="G1980" s="8" t="s">
        <v>801</v>
      </c>
      <c r="H1980" s="8" t="s">
        <v>915</v>
      </c>
    </row>
    <row r="1981" customFormat="false" ht="15" hidden="false" customHeight="false" outlineLevel="0" collapsed="false">
      <c r="A1981" s="8" t="s">
        <v>6140</v>
      </c>
      <c r="B1981" s="8" t="s">
        <v>6141</v>
      </c>
      <c r="C1981" s="8" t="n">
        <v>1995</v>
      </c>
      <c r="D1981" s="8" t="s">
        <v>83</v>
      </c>
      <c r="E1981" s="8" t="s">
        <v>6142</v>
      </c>
      <c r="F1981" s="8" t="s">
        <v>782</v>
      </c>
      <c r="G1981" s="8" t="s">
        <v>783</v>
      </c>
      <c r="H1981" s="8" t="s">
        <v>784</v>
      </c>
    </row>
    <row r="1982" customFormat="false" ht="15" hidden="false" customHeight="false" outlineLevel="0" collapsed="false">
      <c r="A1982" s="8" t="s">
        <v>6143</v>
      </c>
      <c r="B1982" s="8" t="s">
        <v>6144</v>
      </c>
      <c r="C1982" s="8" t="n">
        <v>1959</v>
      </c>
      <c r="D1982" s="8" t="s">
        <v>83</v>
      </c>
      <c r="E1982" s="8" t="s">
        <v>6145</v>
      </c>
      <c r="F1982" s="8" t="s">
        <v>782</v>
      </c>
      <c r="G1982" s="8" t="s">
        <v>783</v>
      </c>
      <c r="H1982" s="8" t="s">
        <v>784</v>
      </c>
    </row>
    <row r="1983" customFormat="false" ht="15" hidden="false" customHeight="false" outlineLevel="0" collapsed="false">
      <c r="A1983" s="8" t="s">
        <v>6146</v>
      </c>
      <c r="B1983" s="8" t="s">
        <v>6147</v>
      </c>
      <c r="C1983" s="8" t="n">
        <v>2003</v>
      </c>
      <c r="D1983" s="8" t="s">
        <v>83</v>
      </c>
      <c r="E1983" s="8" t="s">
        <v>6148</v>
      </c>
      <c r="F1983" s="8" t="s">
        <v>782</v>
      </c>
      <c r="G1983" s="8" t="s">
        <v>783</v>
      </c>
      <c r="H1983" s="8" t="s">
        <v>861</v>
      </c>
    </row>
    <row r="1984" customFormat="false" ht="15" hidden="false" customHeight="false" outlineLevel="0" collapsed="false">
      <c r="A1984" s="8" t="s">
        <v>6149</v>
      </c>
      <c r="B1984" s="8" t="s">
        <v>6150</v>
      </c>
      <c r="C1984" s="8" t="n">
        <v>1987</v>
      </c>
      <c r="D1984" s="8" t="s">
        <v>83</v>
      </c>
      <c r="E1984" s="8" t="s">
        <v>6151</v>
      </c>
      <c r="F1984" s="8" t="s">
        <v>782</v>
      </c>
      <c r="G1984" s="8" t="s">
        <v>783</v>
      </c>
      <c r="H1984" s="8" t="s">
        <v>784</v>
      </c>
    </row>
    <row r="1985" customFormat="false" ht="15" hidden="false" customHeight="false" outlineLevel="0" collapsed="false">
      <c r="A1985" s="8" t="s">
        <v>6152</v>
      </c>
      <c r="B1985" s="8" t="s">
        <v>6153</v>
      </c>
      <c r="C1985" s="8" t="n">
        <v>1978</v>
      </c>
      <c r="D1985" s="8" t="s">
        <v>58</v>
      </c>
      <c r="E1985" s="8" t="s">
        <v>6154</v>
      </c>
      <c r="F1985" s="8" t="s">
        <v>782</v>
      </c>
      <c r="G1985" s="8" t="s">
        <v>783</v>
      </c>
      <c r="H1985" s="8" t="s">
        <v>784</v>
      </c>
    </row>
    <row r="1986" customFormat="false" ht="15" hidden="false" customHeight="false" outlineLevel="0" collapsed="false">
      <c r="A1986" s="8" t="s">
        <v>6155</v>
      </c>
      <c r="B1986" s="8" t="s">
        <v>6156</v>
      </c>
      <c r="C1986" s="8" t="n">
        <v>2002</v>
      </c>
      <c r="D1986" s="8" t="s">
        <v>58</v>
      </c>
      <c r="E1986" s="8" t="s">
        <v>6157</v>
      </c>
      <c r="F1986" s="8" t="s">
        <v>782</v>
      </c>
      <c r="G1986" s="8" t="s">
        <v>783</v>
      </c>
      <c r="H1986" s="8" t="s">
        <v>784</v>
      </c>
    </row>
    <row r="1987" customFormat="false" ht="15" hidden="false" customHeight="false" outlineLevel="0" collapsed="false">
      <c r="A1987" s="8" t="s">
        <v>6158</v>
      </c>
      <c r="B1987" s="8" t="s">
        <v>6159</v>
      </c>
      <c r="C1987" s="8" t="n">
        <v>1996</v>
      </c>
      <c r="D1987" s="8" t="s">
        <v>58</v>
      </c>
      <c r="E1987" s="8"/>
      <c r="F1987" s="8" t="s">
        <v>782</v>
      </c>
      <c r="G1987" s="8" t="s">
        <v>783</v>
      </c>
      <c r="H1987" s="8" t="s">
        <v>784</v>
      </c>
    </row>
    <row r="1988" customFormat="false" ht="15" hidden="false" customHeight="false" outlineLevel="0" collapsed="false">
      <c r="A1988" s="8" t="s">
        <v>6160</v>
      </c>
      <c r="B1988" s="8" t="s">
        <v>6161</v>
      </c>
      <c r="C1988" s="8" t="n">
        <v>1996</v>
      </c>
      <c r="D1988" s="8" t="s">
        <v>58</v>
      </c>
      <c r="E1988" s="8" t="s">
        <v>6162</v>
      </c>
      <c r="F1988" s="8" t="s">
        <v>782</v>
      </c>
      <c r="G1988" s="8" t="s">
        <v>783</v>
      </c>
      <c r="H1988" s="8" t="s">
        <v>784</v>
      </c>
    </row>
    <row r="1989" customFormat="false" ht="15" hidden="false" customHeight="false" outlineLevel="0" collapsed="false">
      <c r="A1989" s="8" t="s">
        <v>6163</v>
      </c>
      <c r="B1989" s="8" t="s">
        <v>6164</v>
      </c>
      <c r="C1989" s="8" t="n">
        <v>1995</v>
      </c>
      <c r="D1989" s="8" t="s">
        <v>83</v>
      </c>
      <c r="E1989" s="8"/>
      <c r="F1989" s="8" t="s">
        <v>782</v>
      </c>
      <c r="G1989" s="8" t="s">
        <v>783</v>
      </c>
      <c r="H1989" s="8" t="s">
        <v>784</v>
      </c>
    </row>
    <row r="1990" customFormat="false" ht="15" hidden="false" customHeight="false" outlineLevel="0" collapsed="false">
      <c r="A1990" s="8" t="s">
        <v>6165</v>
      </c>
      <c r="B1990" s="8" t="s">
        <v>6166</v>
      </c>
      <c r="C1990" s="8" t="n">
        <v>1998</v>
      </c>
      <c r="D1990" s="8" t="s">
        <v>58</v>
      </c>
      <c r="E1990" s="8"/>
      <c r="F1990" s="8" t="s">
        <v>782</v>
      </c>
      <c r="G1990" s="8" t="s">
        <v>801</v>
      </c>
      <c r="H1990" s="8" t="s">
        <v>802</v>
      </c>
    </row>
    <row r="1991" customFormat="false" ht="15" hidden="false" customHeight="false" outlineLevel="0" collapsed="false">
      <c r="A1991" s="8" t="s">
        <v>6167</v>
      </c>
      <c r="B1991" s="8" t="s">
        <v>6168</v>
      </c>
      <c r="C1991" s="8" t="n">
        <v>2003</v>
      </c>
      <c r="D1991" s="8" t="s">
        <v>58</v>
      </c>
      <c r="E1991" s="8"/>
      <c r="F1991" s="8" t="s">
        <v>782</v>
      </c>
      <c r="G1991" s="8" t="s">
        <v>783</v>
      </c>
      <c r="H1991" s="8" t="s">
        <v>784</v>
      </c>
    </row>
    <row r="1992" customFormat="false" ht="15" hidden="false" customHeight="false" outlineLevel="0" collapsed="false">
      <c r="A1992" s="8" t="s">
        <v>6169</v>
      </c>
      <c r="B1992" s="8" t="s">
        <v>6170</v>
      </c>
      <c r="C1992" s="8" t="n">
        <v>2003</v>
      </c>
      <c r="D1992" s="8" t="s">
        <v>58</v>
      </c>
      <c r="E1992" s="8"/>
      <c r="F1992" s="8" t="s">
        <v>782</v>
      </c>
      <c r="G1992" s="8" t="s">
        <v>783</v>
      </c>
      <c r="H1992" s="8" t="s">
        <v>784</v>
      </c>
    </row>
    <row r="1993" customFormat="false" ht="15" hidden="false" customHeight="false" outlineLevel="0" collapsed="false">
      <c r="A1993" s="8" t="s">
        <v>6171</v>
      </c>
      <c r="B1993" s="8" t="s">
        <v>6172</v>
      </c>
      <c r="C1993" s="8" t="n">
        <v>1996</v>
      </c>
      <c r="D1993" s="8" t="s">
        <v>58</v>
      </c>
      <c r="E1993" s="8"/>
      <c r="F1993" s="8" t="s">
        <v>782</v>
      </c>
      <c r="G1993" s="8" t="s">
        <v>783</v>
      </c>
      <c r="H1993" s="8" t="s">
        <v>784</v>
      </c>
    </row>
    <row r="1994" customFormat="false" ht="15" hidden="false" customHeight="false" outlineLevel="0" collapsed="false">
      <c r="A1994" s="8" t="s">
        <v>6173</v>
      </c>
      <c r="B1994" s="8" t="s">
        <v>6174</v>
      </c>
      <c r="C1994" s="8" t="n">
        <v>1991</v>
      </c>
      <c r="D1994" s="8" t="s">
        <v>83</v>
      </c>
      <c r="E1994" s="8" t="s">
        <v>6175</v>
      </c>
      <c r="F1994" s="8" t="s">
        <v>782</v>
      </c>
      <c r="G1994" s="8" t="s">
        <v>783</v>
      </c>
      <c r="H1994" s="8" t="s">
        <v>784</v>
      </c>
    </row>
    <row r="1995" customFormat="false" ht="15" hidden="false" customHeight="false" outlineLevel="0" collapsed="false">
      <c r="A1995" s="8" t="s">
        <v>6176</v>
      </c>
      <c r="B1995" s="8" t="s">
        <v>6177</v>
      </c>
      <c r="C1995" s="8" t="n">
        <v>1980</v>
      </c>
      <c r="D1995" s="8" t="s">
        <v>58</v>
      </c>
      <c r="E1995" s="8" t="s">
        <v>6178</v>
      </c>
      <c r="F1995" s="8" t="s">
        <v>782</v>
      </c>
      <c r="G1995" s="8" t="s">
        <v>801</v>
      </c>
      <c r="H1995" s="8" t="s">
        <v>802</v>
      </c>
    </row>
    <row r="1996" customFormat="false" ht="15" hidden="false" customHeight="false" outlineLevel="0" collapsed="false">
      <c r="A1996" s="8" t="s">
        <v>6179</v>
      </c>
      <c r="B1996" s="8" t="s">
        <v>6180</v>
      </c>
      <c r="C1996" s="8" t="n">
        <v>2001</v>
      </c>
      <c r="D1996" s="8" t="s">
        <v>58</v>
      </c>
      <c r="E1996" s="8" t="s">
        <v>6181</v>
      </c>
      <c r="F1996" s="8" t="s">
        <v>782</v>
      </c>
      <c r="G1996" s="8" t="s">
        <v>783</v>
      </c>
      <c r="H1996" s="8" t="s">
        <v>784</v>
      </c>
    </row>
    <row r="1997" customFormat="false" ht="15" hidden="false" customHeight="false" outlineLevel="0" collapsed="false">
      <c r="A1997" s="8" t="s">
        <v>6182</v>
      </c>
      <c r="B1997" s="8" t="s">
        <v>6183</v>
      </c>
      <c r="C1997" s="8" t="n">
        <v>1993</v>
      </c>
      <c r="D1997" s="8" t="s">
        <v>58</v>
      </c>
      <c r="E1997" s="8"/>
      <c r="F1997" s="8" t="s">
        <v>782</v>
      </c>
      <c r="G1997" s="8" t="s">
        <v>783</v>
      </c>
      <c r="H1997" s="8" t="s">
        <v>784</v>
      </c>
    </row>
    <row r="1998" customFormat="false" ht="15" hidden="false" customHeight="false" outlineLevel="0" collapsed="false">
      <c r="A1998" s="8" t="s">
        <v>6184</v>
      </c>
      <c r="B1998" s="8" t="s">
        <v>6185</v>
      </c>
      <c r="C1998" s="8" t="n">
        <v>2002</v>
      </c>
      <c r="D1998" s="8" t="s">
        <v>58</v>
      </c>
      <c r="E1998" s="8" t="s">
        <v>6186</v>
      </c>
      <c r="F1998" s="8" t="s">
        <v>782</v>
      </c>
      <c r="G1998" s="8" t="s">
        <v>801</v>
      </c>
      <c r="H1998" s="8" t="s">
        <v>915</v>
      </c>
    </row>
    <row r="1999" customFormat="false" ht="15" hidden="false" customHeight="false" outlineLevel="0" collapsed="false">
      <c r="A1999" s="8" t="s">
        <v>6187</v>
      </c>
      <c r="B1999" s="8" t="s">
        <v>6188</v>
      </c>
      <c r="C1999" s="8" t="n">
        <v>1997</v>
      </c>
      <c r="D1999" s="8" t="s">
        <v>58</v>
      </c>
      <c r="E1999" s="8" t="s">
        <v>6189</v>
      </c>
      <c r="F1999" s="8" t="s">
        <v>782</v>
      </c>
      <c r="G1999" s="8" t="s">
        <v>801</v>
      </c>
      <c r="H1999" s="8" t="s">
        <v>915</v>
      </c>
    </row>
    <row r="2000" customFormat="false" ht="15" hidden="false" customHeight="false" outlineLevel="0" collapsed="false">
      <c r="A2000" s="8" t="s">
        <v>6190</v>
      </c>
      <c r="B2000" s="8" t="s">
        <v>6191</v>
      </c>
      <c r="C2000" s="8" t="n">
        <v>1994</v>
      </c>
      <c r="D2000" s="8" t="s">
        <v>58</v>
      </c>
      <c r="E2000" s="8"/>
      <c r="F2000" s="8" t="s">
        <v>782</v>
      </c>
      <c r="G2000" s="8" t="s">
        <v>783</v>
      </c>
      <c r="H2000" s="8" t="s">
        <v>784</v>
      </c>
    </row>
    <row r="2001" customFormat="false" ht="15" hidden="false" customHeight="false" outlineLevel="0" collapsed="false">
      <c r="A2001" s="8" t="s">
        <v>6192</v>
      </c>
      <c r="B2001" s="8" t="s">
        <v>6193</v>
      </c>
      <c r="C2001" s="8" t="n">
        <v>1986</v>
      </c>
      <c r="D2001" s="8" t="s">
        <v>83</v>
      </c>
      <c r="E2001" s="8"/>
      <c r="F2001" s="8" t="s">
        <v>782</v>
      </c>
      <c r="G2001" s="8" t="s">
        <v>783</v>
      </c>
      <c r="H2001" s="8" t="s">
        <v>784</v>
      </c>
    </row>
    <row r="2002" customFormat="false" ht="15" hidden="false" customHeight="false" outlineLevel="0" collapsed="false">
      <c r="A2002" s="8" t="s">
        <v>6194</v>
      </c>
      <c r="B2002" s="8" t="s">
        <v>6195</v>
      </c>
      <c r="C2002" s="8" t="n">
        <v>1999</v>
      </c>
      <c r="D2002" s="8" t="s">
        <v>83</v>
      </c>
      <c r="E2002" s="8"/>
      <c r="F2002" s="8" t="s">
        <v>782</v>
      </c>
      <c r="G2002" s="8" t="s">
        <v>783</v>
      </c>
      <c r="H2002" s="8" t="s">
        <v>784</v>
      </c>
    </row>
    <row r="2003" customFormat="false" ht="15" hidden="false" customHeight="false" outlineLevel="0" collapsed="false">
      <c r="A2003" s="8" t="s">
        <v>6196</v>
      </c>
      <c r="B2003" s="8" t="s">
        <v>6197</v>
      </c>
      <c r="C2003" s="8" t="n">
        <v>2001</v>
      </c>
      <c r="D2003" s="8" t="s">
        <v>83</v>
      </c>
      <c r="E2003" s="8" t="s">
        <v>6198</v>
      </c>
      <c r="F2003" s="8" t="s">
        <v>782</v>
      </c>
      <c r="G2003" s="8" t="s">
        <v>801</v>
      </c>
      <c r="H2003" s="8" t="s">
        <v>915</v>
      </c>
    </row>
    <row r="2004" customFormat="false" ht="15" hidden="false" customHeight="false" outlineLevel="0" collapsed="false">
      <c r="A2004" s="8" t="s">
        <v>6199</v>
      </c>
      <c r="B2004" s="8" t="s">
        <v>6200</v>
      </c>
      <c r="C2004" s="8" t="n">
        <v>1986</v>
      </c>
      <c r="D2004" s="8" t="s">
        <v>58</v>
      </c>
      <c r="E2004" s="8"/>
      <c r="F2004" s="8" t="s">
        <v>782</v>
      </c>
      <c r="G2004" s="8" t="s">
        <v>783</v>
      </c>
      <c r="H2004" s="8" t="s">
        <v>784</v>
      </c>
    </row>
    <row r="2005" customFormat="false" ht="15" hidden="false" customHeight="false" outlineLevel="0" collapsed="false">
      <c r="A2005" s="8" t="s">
        <v>6201</v>
      </c>
      <c r="B2005" s="8" t="s">
        <v>6202</v>
      </c>
      <c r="C2005" s="8" t="n">
        <v>1967</v>
      </c>
      <c r="D2005" s="8" t="s">
        <v>58</v>
      </c>
      <c r="E2005" s="8" t="s">
        <v>6203</v>
      </c>
      <c r="F2005" s="8" t="s">
        <v>782</v>
      </c>
      <c r="G2005" s="8" t="s">
        <v>783</v>
      </c>
      <c r="H2005" s="8" t="s">
        <v>784</v>
      </c>
    </row>
    <row r="2006" customFormat="false" ht="15" hidden="false" customHeight="false" outlineLevel="0" collapsed="false">
      <c r="A2006" s="8" t="s">
        <v>6204</v>
      </c>
      <c r="B2006" s="8" t="s">
        <v>6205</v>
      </c>
      <c r="C2006" s="8" t="n">
        <v>2003</v>
      </c>
      <c r="D2006" s="8" t="s">
        <v>58</v>
      </c>
      <c r="E2006" s="8" t="s">
        <v>6206</v>
      </c>
      <c r="F2006" s="8" t="s">
        <v>782</v>
      </c>
      <c r="G2006" s="8" t="s">
        <v>783</v>
      </c>
      <c r="H2006" s="8" t="s">
        <v>784</v>
      </c>
    </row>
    <row r="2007" customFormat="false" ht="15" hidden="false" customHeight="false" outlineLevel="0" collapsed="false">
      <c r="A2007" s="8" t="s">
        <v>6207</v>
      </c>
      <c r="B2007" s="8" t="s">
        <v>6208</v>
      </c>
      <c r="C2007" s="8" t="n">
        <v>2001</v>
      </c>
      <c r="D2007" s="8" t="s">
        <v>58</v>
      </c>
      <c r="E2007" s="8" t="s">
        <v>6209</v>
      </c>
      <c r="F2007" s="8" t="s">
        <v>782</v>
      </c>
      <c r="G2007" s="8" t="s">
        <v>801</v>
      </c>
      <c r="H2007" s="8" t="s">
        <v>802</v>
      </c>
    </row>
    <row r="2008" customFormat="false" ht="15" hidden="false" customHeight="false" outlineLevel="0" collapsed="false">
      <c r="A2008" s="8" t="s">
        <v>6210</v>
      </c>
      <c r="B2008" s="8" t="s">
        <v>6211</v>
      </c>
      <c r="C2008" s="8" t="n">
        <v>2002</v>
      </c>
      <c r="D2008" s="8" t="s">
        <v>58</v>
      </c>
      <c r="E2008" s="8" t="s">
        <v>6212</v>
      </c>
      <c r="F2008" s="8" t="s">
        <v>782</v>
      </c>
      <c r="G2008" s="8" t="s">
        <v>801</v>
      </c>
      <c r="H2008" s="8" t="s">
        <v>915</v>
      </c>
    </row>
    <row r="2009" customFormat="false" ht="15" hidden="false" customHeight="false" outlineLevel="0" collapsed="false">
      <c r="A2009" s="8" t="s">
        <v>6213</v>
      </c>
      <c r="B2009" s="8" t="s">
        <v>6214</v>
      </c>
      <c r="C2009" s="8" t="n">
        <v>1987</v>
      </c>
      <c r="D2009" s="8" t="s">
        <v>58</v>
      </c>
      <c r="E2009" s="8"/>
      <c r="F2009" s="8" t="s">
        <v>782</v>
      </c>
      <c r="G2009" s="8" t="s">
        <v>783</v>
      </c>
      <c r="H2009" s="8" t="s">
        <v>784</v>
      </c>
    </row>
    <row r="2010" customFormat="false" ht="15" hidden="false" customHeight="false" outlineLevel="0" collapsed="false">
      <c r="A2010" s="8" t="s">
        <v>6215</v>
      </c>
      <c r="B2010" s="8" t="s">
        <v>6216</v>
      </c>
      <c r="C2010" s="8" t="n">
        <v>1996</v>
      </c>
      <c r="D2010" s="8" t="s">
        <v>58</v>
      </c>
      <c r="E2010" s="8"/>
      <c r="F2010" s="8" t="s">
        <v>782</v>
      </c>
      <c r="G2010" s="8" t="s">
        <v>783</v>
      </c>
      <c r="H2010" s="8" t="s">
        <v>861</v>
      </c>
    </row>
    <row r="2011" customFormat="false" ht="15" hidden="false" customHeight="false" outlineLevel="0" collapsed="false">
      <c r="A2011" s="8" t="s">
        <v>6217</v>
      </c>
      <c r="B2011" s="8" t="s">
        <v>6218</v>
      </c>
      <c r="C2011" s="8" t="n">
        <v>1998</v>
      </c>
      <c r="D2011" s="8" t="s">
        <v>58</v>
      </c>
      <c r="E2011" s="8"/>
      <c r="F2011" s="8" t="s">
        <v>782</v>
      </c>
      <c r="G2011" s="8" t="s">
        <v>783</v>
      </c>
      <c r="H2011" s="8" t="s">
        <v>784</v>
      </c>
    </row>
    <row r="2012" customFormat="false" ht="15" hidden="false" customHeight="false" outlineLevel="0" collapsed="false">
      <c r="A2012" s="8" t="s">
        <v>6219</v>
      </c>
      <c r="B2012" s="8" t="s">
        <v>6220</v>
      </c>
      <c r="C2012" s="8" t="n">
        <v>2001</v>
      </c>
      <c r="D2012" s="8" t="s">
        <v>83</v>
      </c>
      <c r="E2012" s="8" t="s">
        <v>6221</v>
      </c>
      <c r="F2012" s="8" t="s">
        <v>782</v>
      </c>
      <c r="G2012" s="8" t="s">
        <v>783</v>
      </c>
      <c r="H2012" s="8" t="s">
        <v>784</v>
      </c>
    </row>
    <row r="2013" customFormat="false" ht="15" hidden="false" customHeight="false" outlineLevel="0" collapsed="false">
      <c r="A2013" s="8" t="s">
        <v>6222</v>
      </c>
      <c r="B2013" s="8" t="s">
        <v>6223</v>
      </c>
      <c r="C2013" s="8" t="n">
        <v>1999</v>
      </c>
      <c r="D2013" s="8" t="s">
        <v>83</v>
      </c>
      <c r="E2013" s="8" t="s">
        <v>6224</v>
      </c>
      <c r="F2013" s="8" t="s">
        <v>782</v>
      </c>
      <c r="G2013" s="8" t="s">
        <v>783</v>
      </c>
      <c r="H2013" s="8" t="s">
        <v>861</v>
      </c>
    </row>
    <row r="2014" customFormat="false" ht="15" hidden="false" customHeight="false" outlineLevel="0" collapsed="false">
      <c r="A2014" s="8" t="s">
        <v>6225</v>
      </c>
      <c r="B2014" s="8" t="s">
        <v>6226</v>
      </c>
      <c r="C2014" s="8" t="n">
        <v>2000</v>
      </c>
      <c r="D2014" s="8" t="s">
        <v>58</v>
      </c>
      <c r="E2014" s="8" t="s">
        <v>6227</v>
      </c>
      <c r="F2014" s="8" t="s">
        <v>782</v>
      </c>
      <c r="G2014" s="8" t="s">
        <v>801</v>
      </c>
      <c r="H2014" s="8" t="s">
        <v>802</v>
      </c>
    </row>
    <row r="2015" customFormat="false" ht="15" hidden="false" customHeight="false" outlineLevel="0" collapsed="false">
      <c r="A2015" s="8" t="s">
        <v>6228</v>
      </c>
      <c r="B2015" s="8" t="s">
        <v>6229</v>
      </c>
      <c r="C2015" s="8" t="n">
        <v>1992</v>
      </c>
      <c r="D2015" s="8" t="s">
        <v>83</v>
      </c>
      <c r="E2015" s="8" t="s">
        <v>6230</v>
      </c>
      <c r="F2015" s="8" t="s">
        <v>782</v>
      </c>
      <c r="G2015" s="8" t="s">
        <v>783</v>
      </c>
      <c r="H2015" s="8" t="s">
        <v>784</v>
      </c>
    </row>
  </sheetData>
  <autoFilter ref="A1:H20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7"/>
    <col collapsed="false" customWidth="true" hidden="false" outlineLevel="0" max="4" min="4" style="0" width="18"/>
    <col collapsed="false" customWidth="true" hidden="false" outlineLevel="0" max="5" min="5" style="0" width="26"/>
    <col collapsed="false" customWidth="true" hidden="false" outlineLevel="0" max="6" min="6" style="0" width="40"/>
  </cols>
  <sheetData>
    <row r="1" customFormat="false" ht="15" hidden="false" customHeight="false" outlineLevel="0" collapsed="false">
      <c r="A1" s="7" t="s">
        <v>42</v>
      </c>
      <c r="B1" s="7" t="s">
        <v>44</v>
      </c>
      <c r="C1" s="7" t="s">
        <v>45</v>
      </c>
      <c r="D1" s="7" t="s">
        <v>47</v>
      </c>
      <c r="E1" s="7" t="s">
        <v>48</v>
      </c>
      <c r="F1" s="7" t="s">
        <v>6231</v>
      </c>
    </row>
    <row r="2" customFormat="false" ht="15" hidden="false" customHeight="false" outlineLevel="0" collapsed="false">
      <c r="A2" s="8" t="s">
        <v>6232</v>
      </c>
      <c r="B2" s="8" t="s">
        <v>6233</v>
      </c>
      <c r="C2" s="8" t="n">
        <v>2025</v>
      </c>
      <c r="D2" s="8" t="s">
        <v>6234</v>
      </c>
      <c r="E2" s="8"/>
      <c r="F2" s="8" t="s">
        <v>6235</v>
      </c>
    </row>
    <row r="3" customFormat="false" ht="15" hidden="false" customHeight="false" outlineLevel="0" collapsed="false">
      <c r="A3" s="8" t="s">
        <v>6236</v>
      </c>
      <c r="B3" s="8" t="s">
        <v>6237</v>
      </c>
      <c r="C3" s="8" t="n">
        <v>2025</v>
      </c>
      <c r="D3" s="8" t="s">
        <v>6234</v>
      </c>
      <c r="E3" s="8"/>
      <c r="F3" s="8" t="s">
        <v>6235</v>
      </c>
    </row>
    <row r="4" customFormat="false" ht="15" hidden="false" customHeight="false" outlineLevel="0" collapsed="false">
      <c r="A4" s="8" t="s">
        <v>6238</v>
      </c>
      <c r="B4" s="8" t="s">
        <v>6239</v>
      </c>
      <c r="C4" s="8" t="n">
        <v>2025</v>
      </c>
      <c r="D4" s="8" t="s">
        <v>6234</v>
      </c>
      <c r="E4" s="8"/>
      <c r="F4" s="8" t="s">
        <v>6235</v>
      </c>
    </row>
    <row r="5" customFormat="false" ht="15" hidden="false" customHeight="false" outlineLevel="0" collapsed="false">
      <c r="A5" s="8" t="s">
        <v>6240</v>
      </c>
      <c r="B5" s="8" t="s">
        <v>6241</v>
      </c>
      <c r="C5" s="8" t="n">
        <v>2025</v>
      </c>
      <c r="D5" s="8" t="s">
        <v>6242</v>
      </c>
      <c r="E5" s="8" t="s">
        <v>6243</v>
      </c>
      <c r="F5" s="8" t="s">
        <v>6242</v>
      </c>
    </row>
    <row r="6" customFormat="false" ht="15" hidden="false" customHeight="false" outlineLevel="0" collapsed="false">
      <c r="A6" s="8" t="s">
        <v>6244</v>
      </c>
      <c r="B6" s="8" t="s">
        <v>6245</v>
      </c>
      <c r="C6" s="8" t="n">
        <v>2025</v>
      </c>
      <c r="D6" s="8" t="s">
        <v>6234</v>
      </c>
      <c r="E6" s="8"/>
      <c r="F6" s="8" t="s">
        <v>6235</v>
      </c>
    </row>
    <row r="7" customFormat="false" ht="15" hidden="false" customHeight="false" outlineLevel="0" collapsed="false">
      <c r="A7" s="8" t="s">
        <v>6246</v>
      </c>
      <c r="B7" s="8" t="s">
        <v>6247</v>
      </c>
      <c r="C7" s="8" t="n">
        <v>2025</v>
      </c>
      <c r="D7" s="8" t="s">
        <v>6234</v>
      </c>
      <c r="E7" s="8"/>
      <c r="F7" s="8" t="s">
        <v>6235</v>
      </c>
    </row>
    <row r="8" customFormat="false" ht="15" hidden="false" customHeight="false" outlineLevel="0" collapsed="false">
      <c r="A8" s="8" t="s">
        <v>6248</v>
      </c>
      <c r="B8" s="8" t="s">
        <v>6249</v>
      </c>
      <c r="C8" s="8" t="n">
        <v>2024</v>
      </c>
      <c r="D8" s="8" t="s">
        <v>6234</v>
      </c>
      <c r="E8" s="8"/>
      <c r="F8" s="8" t="s">
        <v>6235</v>
      </c>
    </row>
    <row r="9" customFormat="false" ht="15" hidden="false" customHeight="false" outlineLevel="0" collapsed="false">
      <c r="A9" s="8" t="s">
        <v>6250</v>
      </c>
      <c r="B9" s="8" t="s">
        <v>6239</v>
      </c>
      <c r="C9" s="8" t="n">
        <v>2025</v>
      </c>
      <c r="D9" s="8" t="s">
        <v>6234</v>
      </c>
      <c r="E9" s="8"/>
      <c r="F9" s="8" t="s">
        <v>6235</v>
      </c>
    </row>
    <row r="10" customFormat="false" ht="15" hidden="false" customHeight="false" outlineLevel="0" collapsed="false">
      <c r="A10" s="8" t="s">
        <v>6251</v>
      </c>
      <c r="B10" s="8" t="s">
        <v>6252</v>
      </c>
      <c r="C10" s="8" t="n">
        <v>2024</v>
      </c>
      <c r="D10" s="8" t="s">
        <v>6234</v>
      </c>
      <c r="E10" s="8"/>
      <c r="F10" s="8" t="s">
        <v>6235</v>
      </c>
    </row>
    <row r="11" customFormat="false" ht="15" hidden="false" customHeight="false" outlineLevel="0" collapsed="false">
      <c r="A11" s="8" t="s">
        <v>6253</v>
      </c>
      <c r="B11" s="8" t="s">
        <v>6254</v>
      </c>
      <c r="C11" s="8" t="n">
        <v>2026</v>
      </c>
      <c r="D11" s="8" t="s">
        <v>6234</v>
      </c>
      <c r="E11" s="8"/>
      <c r="F11" s="8" t="s">
        <v>6235</v>
      </c>
    </row>
    <row r="12" customFormat="false" ht="15" hidden="false" customHeight="false" outlineLevel="0" collapsed="false">
      <c r="A12" s="8" t="s">
        <v>6255</v>
      </c>
      <c r="B12" s="8" t="s">
        <v>6256</v>
      </c>
      <c r="C12" s="8" t="n">
        <v>2024</v>
      </c>
      <c r="D12" s="8" t="s">
        <v>6234</v>
      </c>
      <c r="E12" s="8"/>
      <c r="F12" s="8" t="s">
        <v>6235</v>
      </c>
    </row>
    <row r="13" customFormat="false" ht="15" hidden="false" customHeight="false" outlineLevel="0" collapsed="false">
      <c r="A13" s="8" t="s">
        <v>6257</v>
      </c>
      <c r="B13" s="8" t="s">
        <v>6258</v>
      </c>
      <c r="C13" s="8" t="n">
        <v>2024</v>
      </c>
      <c r="D13" s="8" t="s">
        <v>6234</v>
      </c>
      <c r="E13" s="8"/>
      <c r="F13" s="8" t="s">
        <v>6235</v>
      </c>
    </row>
    <row r="14" customFormat="false" ht="15" hidden="false" customHeight="false" outlineLevel="0" collapsed="false">
      <c r="A14" s="8" t="s">
        <v>6259</v>
      </c>
      <c r="B14" s="8" t="s">
        <v>6260</v>
      </c>
      <c r="C14" s="8" t="n">
        <v>2025</v>
      </c>
      <c r="D14" s="8" t="s">
        <v>6234</v>
      </c>
      <c r="E14" s="8"/>
      <c r="F14" s="8" t="s">
        <v>6235</v>
      </c>
    </row>
    <row r="15" customFormat="false" ht="15" hidden="false" customHeight="false" outlineLevel="0" collapsed="false">
      <c r="A15" s="8" t="s">
        <v>6261</v>
      </c>
      <c r="B15" s="8" t="s">
        <v>6239</v>
      </c>
      <c r="C15" s="8" t="n">
        <v>2025</v>
      </c>
      <c r="D15" s="8" t="s">
        <v>6234</v>
      </c>
      <c r="E15" s="8"/>
      <c r="F15" s="8" t="s">
        <v>6235</v>
      </c>
    </row>
    <row r="16" customFormat="false" ht="15" hidden="false" customHeight="false" outlineLevel="0" collapsed="false">
      <c r="A16" s="8" t="s">
        <v>6262</v>
      </c>
      <c r="B16" s="8" t="s">
        <v>6263</v>
      </c>
      <c r="C16" s="8" t="n">
        <v>2024</v>
      </c>
      <c r="D16" s="8" t="s">
        <v>6234</v>
      </c>
      <c r="E16" s="8"/>
      <c r="F16" s="8" t="s">
        <v>6235</v>
      </c>
    </row>
    <row r="17" customFormat="false" ht="15" hidden="false" customHeight="false" outlineLevel="0" collapsed="false">
      <c r="A17" s="8" t="s">
        <v>6264</v>
      </c>
      <c r="B17" s="8" t="s">
        <v>6265</v>
      </c>
      <c r="C17" s="8" t="n">
        <v>2025</v>
      </c>
      <c r="D17" s="8" t="s">
        <v>6234</v>
      </c>
      <c r="E17" s="8"/>
      <c r="F17" s="8" t="s">
        <v>6235</v>
      </c>
    </row>
    <row r="18" customFormat="false" ht="15" hidden="false" customHeight="false" outlineLevel="0" collapsed="false">
      <c r="A18" s="8" t="s">
        <v>6266</v>
      </c>
      <c r="B18" s="8" t="s">
        <v>6267</v>
      </c>
      <c r="C18" s="8" t="n">
        <v>2026</v>
      </c>
      <c r="D18" s="8" t="s">
        <v>6234</v>
      </c>
      <c r="E18" s="8"/>
      <c r="F18" s="8" t="s">
        <v>6235</v>
      </c>
    </row>
    <row r="19" customFormat="false" ht="15" hidden="false" customHeight="false" outlineLevel="0" collapsed="false">
      <c r="A19" s="8" t="s">
        <v>6268</v>
      </c>
      <c r="B19" s="8" t="s">
        <v>6269</v>
      </c>
      <c r="C19" s="8" t="n">
        <v>2024</v>
      </c>
      <c r="D19" s="8" t="s">
        <v>6270</v>
      </c>
      <c r="E19" s="8" t="s">
        <v>6271</v>
      </c>
      <c r="F19" s="8" t="s">
        <v>6270</v>
      </c>
    </row>
    <row r="20" customFormat="false" ht="15" hidden="false" customHeight="false" outlineLevel="0" collapsed="false">
      <c r="A20" s="8" t="s">
        <v>6272</v>
      </c>
      <c r="B20" s="8" t="s">
        <v>6239</v>
      </c>
      <c r="C20" s="8" t="n">
        <v>2025</v>
      </c>
      <c r="D20" s="8" t="s">
        <v>6234</v>
      </c>
      <c r="E20" s="8"/>
      <c r="F20" s="8" t="s">
        <v>6235</v>
      </c>
    </row>
    <row r="21" customFormat="false" ht="15" hidden="false" customHeight="false" outlineLevel="0" collapsed="false">
      <c r="A21" s="8" t="s">
        <v>6273</v>
      </c>
      <c r="B21" s="8" t="s">
        <v>6274</v>
      </c>
      <c r="C21" s="8" t="n">
        <v>2024</v>
      </c>
      <c r="D21" s="8" t="s">
        <v>6234</v>
      </c>
      <c r="E21" s="8"/>
      <c r="F21" s="8" t="s">
        <v>6235</v>
      </c>
    </row>
    <row r="22" customFormat="false" ht="15" hidden="false" customHeight="false" outlineLevel="0" collapsed="false">
      <c r="A22" s="8" t="s">
        <v>6275</v>
      </c>
      <c r="B22" s="8" t="s">
        <v>6276</v>
      </c>
      <c r="C22" s="8" t="n">
        <v>2025</v>
      </c>
      <c r="D22" s="8" t="s">
        <v>6234</v>
      </c>
      <c r="E22" s="8"/>
      <c r="F22" s="8" t="s">
        <v>6235</v>
      </c>
    </row>
    <row r="23" customFormat="false" ht="15" hidden="false" customHeight="false" outlineLevel="0" collapsed="false">
      <c r="A23" s="8" t="s">
        <v>6277</v>
      </c>
      <c r="B23" s="8" t="s">
        <v>6278</v>
      </c>
      <c r="C23" s="8" t="n">
        <v>2025</v>
      </c>
      <c r="D23" s="8" t="s">
        <v>6234</v>
      </c>
      <c r="E23" s="8"/>
      <c r="F23" s="8" t="s">
        <v>6235</v>
      </c>
    </row>
    <row r="24" customFormat="false" ht="15" hidden="false" customHeight="false" outlineLevel="0" collapsed="false">
      <c r="A24" s="8" t="s">
        <v>6279</v>
      </c>
      <c r="B24" s="8" t="s">
        <v>6280</v>
      </c>
      <c r="C24" s="8" t="n">
        <v>2026</v>
      </c>
      <c r="D24" s="8" t="s">
        <v>6234</v>
      </c>
      <c r="E24" s="8"/>
      <c r="F24" s="8" t="s">
        <v>6235</v>
      </c>
    </row>
    <row r="25" customFormat="false" ht="15" hidden="false" customHeight="false" outlineLevel="0" collapsed="false">
      <c r="A25" s="8" t="s">
        <v>6281</v>
      </c>
      <c r="B25" s="8" t="s">
        <v>6282</v>
      </c>
      <c r="C25" s="8" t="n">
        <v>2026</v>
      </c>
      <c r="D25" s="8" t="s">
        <v>6234</v>
      </c>
      <c r="E25" s="8"/>
      <c r="F25" s="8" t="s">
        <v>6235</v>
      </c>
    </row>
    <row r="26" customFormat="false" ht="15" hidden="false" customHeight="false" outlineLevel="0" collapsed="false">
      <c r="A26" s="8" t="s">
        <v>6283</v>
      </c>
      <c r="B26" s="8" t="s">
        <v>6284</v>
      </c>
      <c r="C26" s="8" t="n">
        <v>2026</v>
      </c>
      <c r="D26" s="8" t="s">
        <v>6234</v>
      </c>
      <c r="E26" s="8"/>
      <c r="F26" s="8" t="s">
        <v>6235</v>
      </c>
    </row>
    <row r="27" customFormat="false" ht="15" hidden="false" customHeight="false" outlineLevel="0" collapsed="false">
      <c r="A27" s="8" t="s">
        <v>6285</v>
      </c>
      <c r="B27" s="8" t="s">
        <v>6286</v>
      </c>
      <c r="C27" s="8" t="n">
        <v>2022</v>
      </c>
      <c r="D27" s="8" t="s">
        <v>6234</v>
      </c>
      <c r="E27" s="8"/>
      <c r="F27" s="8" t="s">
        <v>6235</v>
      </c>
    </row>
    <row r="28" customFormat="false" ht="15" hidden="false" customHeight="false" outlineLevel="0" collapsed="false">
      <c r="A28" s="8" t="s">
        <v>6287</v>
      </c>
      <c r="B28" s="8" t="s">
        <v>6288</v>
      </c>
      <c r="C28" s="8" t="n">
        <v>2023</v>
      </c>
      <c r="D28" s="8" t="s">
        <v>6234</v>
      </c>
      <c r="E28" s="8"/>
      <c r="F28" s="8" t="s">
        <v>6235</v>
      </c>
    </row>
    <row r="29" customFormat="false" ht="15" hidden="false" customHeight="false" outlineLevel="0" collapsed="false">
      <c r="A29" s="8" t="s">
        <v>6289</v>
      </c>
      <c r="B29" s="8" t="s">
        <v>6290</v>
      </c>
      <c r="C29" s="8" t="n">
        <v>2021</v>
      </c>
      <c r="D29" s="8" t="s">
        <v>6234</v>
      </c>
      <c r="E29" s="8"/>
      <c r="F29" s="8" t="s">
        <v>6235</v>
      </c>
    </row>
    <row r="30" customFormat="false" ht="15" hidden="false" customHeight="false" outlineLevel="0" collapsed="false">
      <c r="A30" s="8" t="s">
        <v>6291</v>
      </c>
      <c r="B30" s="8" t="s">
        <v>6292</v>
      </c>
      <c r="C30" s="8" t="n">
        <v>2019</v>
      </c>
      <c r="D30" s="8" t="s">
        <v>6234</v>
      </c>
      <c r="E30" s="8"/>
      <c r="F30" s="8" t="s">
        <v>6235</v>
      </c>
    </row>
    <row r="31" customFormat="false" ht="15" hidden="false" customHeight="false" outlineLevel="0" collapsed="false">
      <c r="A31" s="8" t="s">
        <v>6293</v>
      </c>
      <c r="B31" s="8" t="s">
        <v>6294</v>
      </c>
      <c r="C31" s="8" t="n">
        <v>2022</v>
      </c>
      <c r="D31" s="8" t="s">
        <v>6234</v>
      </c>
      <c r="E31" s="8"/>
      <c r="F31" s="8" t="s">
        <v>6235</v>
      </c>
    </row>
    <row r="32" customFormat="false" ht="15" hidden="false" customHeight="false" outlineLevel="0" collapsed="false">
      <c r="A32" s="8" t="s">
        <v>6295</v>
      </c>
      <c r="B32" s="8" t="s">
        <v>6296</v>
      </c>
      <c r="C32" s="8" t="n">
        <v>2022</v>
      </c>
      <c r="D32" s="8" t="s">
        <v>6234</v>
      </c>
      <c r="E32" s="8"/>
      <c r="F32" s="8" t="s">
        <v>6235</v>
      </c>
    </row>
    <row r="33" customFormat="false" ht="15" hidden="false" customHeight="false" outlineLevel="0" collapsed="false">
      <c r="A33" s="8" t="s">
        <v>6297</v>
      </c>
      <c r="B33" s="8" t="s">
        <v>6294</v>
      </c>
      <c r="C33" s="8" t="n">
        <v>2022</v>
      </c>
      <c r="D33" s="8" t="s">
        <v>6234</v>
      </c>
      <c r="E33" s="8"/>
      <c r="F33" s="8" t="s">
        <v>6235</v>
      </c>
    </row>
    <row r="34" customFormat="false" ht="15" hidden="false" customHeight="false" outlineLevel="0" collapsed="false">
      <c r="A34" s="8" t="s">
        <v>6298</v>
      </c>
      <c r="B34" s="8" t="s">
        <v>6299</v>
      </c>
      <c r="C34" s="8" t="n">
        <v>2023</v>
      </c>
      <c r="D34" s="8" t="s">
        <v>6234</v>
      </c>
      <c r="E34" s="8"/>
      <c r="F34" s="8" t="s">
        <v>6235</v>
      </c>
    </row>
    <row r="35" customFormat="false" ht="15" hidden="false" customHeight="false" outlineLevel="0" collapsed="false">
      <c r="A35" s="8" t="s">
        <v>6300</v>
      </c>
      <c r="B35" s="8" t="s">
        <v>6288</v>
      </c>
      <c r="C35" s="8" t="n">
        <v>2023</v>
      </c>
      <c r="D35" s="8" t="s">
        <v>6234</v>
      </c>
      <c r="E35" s="8"/>
      <c r="F35" s="8" t="s">
        <v>6235</v>
      </c>
    </row>
    <row r="36" customFormat="false" ht="15" hidden="false" customHeight="false" outlineLevel="0" collapsed="false">
      <c r="A36" s="8" t="s">
        <v>6301</v>
      </c>
      <c r="B36" s="8" t="s">
        <v>6302</v>
      </c>
      <c r="C36" s="8" t="n">
        <v>2021</v>
      </c>
      <c r="D36" s="8" t="s">
        <v>6234</v>
      </c>
      <c r="E36" s="8"/>
      <c r="F36" s="8" t="s">
        <v>6235</v>
      </c>
    </row>
    <row r="37" customFormat="false" ht="15" hidden="false" customHeight="false" outlineLevel="0" collapsed="false">
      <c r="A37" s="8" t="s">
        <v>6303</v>
      </c>
      <c r="B37" s="8" t="s">
        <v>6304</v>
      </c>
      <c r="C37" s="8" t="n">
        <v>2020</v>
      </c>
      <c r="D37" s="8" t="s">
        <v>6234</v>
      </c>
      <c r="E37" s="8"/>
      <c r="F37" s="8" t="s">
        <v>6235</v>
      </c>
    </row>
    <row r="38" customFormat="false" ht="15" hidden="false" customHeight="false" outlineLevel="0" collapsed="false">
      <c r="A38" s="8" t="s">
        <v>6305</v>
      </c>
      <c r="B38" s="8" t="s">
        <v>6306</v>
      </c>
      <c r="C38" s="8" t="n">
        <v>2021</v>
      </c>
      <c r="D38" s="8" t="s">
        <v>6234</v>
      </c>
      <c r="E38" s="8"/>
      <c r="F38" s="8" t="s">
        <v>6235</v>
      </c>
    </row>
    <row r="39" customFormat="false" ht="15" hidden="false" customHeight="false" outlineLevel="0" collapsed="false">
      <c r="A39" s="8" t="s">
        <v>6307</v>
      </c>
      <c r="B39" s="8" t="s">
        <v>6308</v>
      </c>
      <c r="C39" s="8" t="n">
        <v>2021</v>
      </c>
      <c r="D39" s="8" t="s">
        <v>6234</v>
      </c>
      <c r="E39" s="8"/>
      <c r="F39" s="8" t="s">
        <v>6235</v>
      </c>
    </row>
    <row r="40" customFormat="false" ht="15" hidden="false" customHeight="false" outlineLevel="0" collapsed="false">
      <c r="A40" s="8" t="s">
        <v>6309</v>
      </c>
      <c r="B40" s="8" t="s">
        <v>6310</v>
      </c>
      <c r="C40" s="8" t="n">
        <v>2022</v>
      </c>
      <c r="D40" s="8" t="s">
        <v>6234</v>
      </c>
      <c r="E40" s="8"/>
      <c r="F40" s="8" t="s">
        <v>6235</v>
      </c>
    </row>
    <row r="41" customFormat="false" ht="15" hidden="false" customHeight="false" outlineLevel="0" collapsed="false">
      <c r="A41" s="8" t="s">
        <v>6311</v>
      </c>
      <c r="B41" s="8" t="s">
        <v>6312</v>
      </c>
      <c r="C41" s="8" t="n">
        <v>2023</v>
      </c>
      <c r="D41" s="8" t="s">
        <v>6234</v>
      </c>
      <c r="E41" s="8"/>
      <c r="F41" s="8" t="s">
        <v>6235</v>
      </c>
    </row>
    <row r="42" customFormat="false" ht="15" hidden="false" customHeight="false" outlineLevel="0" collapsed="false">
      <c r="A42" s="8" t="s">
        <v>6313</v>
      </c>
      <c r="B42" s="8" t="s">
        <v>6314</v>
      </c>
      <c r="C42" s="8" t="n">
        <v>2019</v>
      </c>
      <c r="D42" s="8" t="s">
        <v>6234</v>
      </c>
      <c r="E42" s="8"/>
      <c r="F42" s="8" t="s">
        <v>6235</v>
      </c>
    </row>
    <row r="43" customFormat="false" ht="15" hidden="false" customHeight="false" outlineLevel="0" collapsed="false">
      <c r="A43" s="8" t="s">
        <v>6315</v>
      </c>
      <c r="B43" s="8" t="s">
        <v>6316</v>
      </c>
      <c r="C43" s="8" t="n">
        <v>2021</v>
      </c>
      <c r="D43" s="8" t="s">
        <v>6234</v>
      </c>
      <c r="E43" s="8"/>
      <c r="F43" s="8" t="s">
        <v>6235</v>
      </c>
    </row>
    <row r="44" customFormat="false" ht="15" hidden="false" customHeight="false" outlineLevel="0" collapsed="false">
      <c r="A44" s="8" t="s">
        <v>6317</v>
      </c>
      <c r="B44" s="8" t="s">
        <v>6294</v>
      </c>
      <c r="C44" s="8" t="n">
        <v>2022</v>
      </c>
      <c r="D44" s="8" t="s">
        <v>6234</v>
      </c>
      <c r="E44" s="8"/>
      <c r="F44" s="8" t="s">
        <v>6235</v>
      </c>
    </row>
    <row r="45" customFormat="false" ht="15" hidden="false" customHeight="false" outlineLevel="0" collapsed="false">
      <c r="A45" s="8" t="s">
        <v>6318</v>
      </c>
      <c r="B45" s="8" t="s">
        <v>6319</v>
      </c>
      <c r="C45" s="8" t="n">
        <v>2020</v>
      </c>
      <c r="D45" s="8" t="s">
        <v>6234</v>
      </c>
      <c r="E45" s="8"/>
      <c r="F45" s="8" t="s">
        <v>6235</v>
      </c>
    </row>
    <row r="46" customFormat="false" ht="15" hidden="false" customHeight="false" outlineLevel="0" collapsed="false">
      <c r="A46" s="8" t="s">
        <v>6320</v>
      </c>
      <c r="B46" s="8" t="s">
        <v>6321</v>
      </c>
      <c r="C46" s="8" t="n">
        <v>2020</v>
      </c>
      <c r="D46" s="8" t="s">
        <v>6234</v>
      </c>
      <c r="E46" s="8"/>
      <c r="F46" s="8" t="s">
        <v>6235</v>
      </c>
    </row>
    <row r="47" customFormat="false" ht="15" hidden="false" customHeight="false" outlineLevel="0" collapsed="false">
      <c r="A47" s="8" t="s">
        <v>6322</v>
      </c>
      <c r="B47" s="8" t="s">
        <v>6323</v>
      </c>
      <c r="C47" s="8" t="n">
        <v>2021</v>
      </c>
      <c r="D47" s="8" t="s">
        <v>6270</v>
      </c>
      <c r="E47" s="8" t="s">
        <v>6324</v>
      </c>
      <c r="F47" s="8" t="s">
        <v>6270</v>
      </c>
    </row>
    <row r="48" customFormat="false" ht="15" hidden="false" customHeight="false" outlineLevel="0" collapsed="false">
      <c r="A48" s="8" t="s">
        <v>6325</v>
      </c>
      <c r="B48" s="8" t="s">
        <v>6326</v>
      </c>
      <c r="C48" s="8" t="n">
        <v>2022</v>
      </c>
      <c r="D48" s="8" t="s">
        <v>6234</v>
      </c>
      <c r="E48" s="8"/>
      <c r="F48" s="8" t="s">
        <v>6235</v>
      </c>
    </row>
    <row r="49" customFormat="false" ht="15" hidden="false" customHeight="false" outlineLevel="0" collapsed="false">
      <c r="A49" s="8" t="s">
        <v>6327</v>
      </c>
      <c r="B49" s="8" t="s">
        <v>6328</v>
      </c>
      <c r="C49" s="8" t="n">
        <v>2023</v>
      </c>
      <c r="D49" s="8" t="s">
        <v>6234</v>
      </c>
      <c r="E49" s="8"/>
      <c r="F49" s="8" t="s">
        <v>6235</v>
      </c>
    </row>
    <row r="50" customFormat="false" ht="15" hidden="false" customHeight="false" outlineLevel="0" collapsed="false">
      <c r="A50" s="8" t="s">
        <v>6329</v>
      </c>
      <c r="B50" s="8" t="s">
        <v>6330</v>
      </c>
      <c r="C50" s="8" t="n">
        <v>2014</v>
      </c>
      <c r="D50" s="8" t="s">
        <v>6234</v>
      </c>
      <c r="E50" s="8"/>
      <c r="F50" s="8" t="s">
        <v>6235</v>
      </c>
    </row>
    <row r="51" customFormat="false" ht="15" hidden="false" customHeight="false" outlineLevel="0" collapsed="false">
      <c r="A51" s="8" t="s">
        <v>6331</v>
      </c>
      <c r="B51" s="8" t="s">
        <v>6332</v>
      </c>
      <c r="C51" s="8" t="n">
        <v>2014</v>
      </c>
      <c r="D51" s="8" t="s">
        <v>6234</v>
      </c>
      <c r="E51" s="8"/>
      <c r="F51" s="8" t="s">
        <v>6235</v>
      </c>
    </row>
    <row r="52" customFormat="false" ht="15" hidden="false" customHeight="false" outlineLevel="0" collapsed="false">
      <c r="A52" s="8" t="s">
        <v>6333</v>
      </c>
      <c r="B52" s="8" t="s">
        <v>6334</v>
      </c>
      <c r="C52" s="8" t="n">
        <v>2012</v>
      </c>
      <c r="D52" s="8" t="s">
        <v>6234</v>
      </c>
      <c r="E52" s="8"/>
      <c r="F52" s="8" t="s">
        <v>6235</v>
      </c>
    </row>
    <row r="53" customFormat="false" ht="15" hidden="false" customHeight="false" outlineLevel="0" collapsed="false">
      <c r="A53" s="8" t="s">
        <v>6335</v>
      </c>
      <c r="B53" s="8" t="s">
        <v>6336</v>
      </c>
      <c r="C53" s="8" t="n">
        <v>2011</v>
      </c>
      <c r="D53" s="8" t="s">
        <v>6234</v>
      </c>
      <c r="E53" s="8"/>
      <c r="F53" s="8" t="s">
        <v>6235</v>
      </c>
    </row>
    <row r="54" customFormat="false" ht="15" hidden="false" customHeight="false" outlineLevel="0" collapsed="false">
      <c r="A54" s="8" t="s">
        <v>6337</v>
      </c>
      <c r="B54" s="8" t="s">
        <v>6338</v>
      </c>
      <c r="C54" s="8" t="n">
        <v>2017</v>
      </c>
      <c r="D54" s="8" t="s">
        <v>6234</v>
      </c>
      <c r="E54" s="8"/>
      <c r="F54" s="8" t="s">
        <v>6235</v>
      </c>
    </row>
    <row r="55" customFormat="false" ht="15" hidden="false" customHeight="false" outlineLevel="0" collapsed="false">
      <c r="A55" s="8" t="s">
        <v>6339</v>
      </c>
      <c r="B55" s="8" t="s">
        <v>6340</v>
      </c>
      <c r="C55" s="8" t="n">
        <v>2016</v>
      </c>
      <c r="D55" s="8" t="s">
        <v>6234</v>
      </c>
      <c r="E55" s="8"/>
      <c r="F55" s="8" t="s">
        <v>6235</v>
      </c>
    </row>
    <row r="56" customFormat="false" ht="15" hidden="false" customHeight="false" outlineLevel="0" collapsed="false">
      <c r="A56" s="8" t="s">
        <v>6341</v>
      </c>
      <c r="B56" s="8" t="s">
        <v>6342</v>
      </c>
      <c r="C56" s="8" t="n">
        <v>2014</v>
      </c>
      <c r="D56" s="8" t="s">
        <v>6234</v>
      </c>
      <c r="E56" s="8"/>
      <c r="F56" s="8" t="s">
        <v>6235</v>
      </c>
    </row>
    <row r="57" customFormat="false" ht="15" hidden="false" customHeight="false" outlineLevel="0" collapsed="false">
      <c r="A57" s="8" t="s">
        <v>6343</v>
      </c>
      <c r="B57" s="8" t="s">
        <v>6344</v>
      </c>
      <c r="C57" s="8" t="n">
        <v>2018</v>
      </c>
      <c r="D57" s="8" t="s">
        <v>6234</v>
      </c>
      <c r="E57" s="8"/>
      <c r="F57" s="8" t="s">
        <v>6235</v>
      </c>
    </row>
    <row r="58" customFormat="false" ht="15" hidden="false" customHeight="false" outlineLevel="0" collapsed="false">
      <c r="A58" s="8" t="s">
        <v>6345</v>
      </c>
      <c r="B58" s="8" t="s">
        <v>6346</v>
      </c>
      <c r="C58" s="8" t="n">
        <v>2016</v>
      </c>
      <c r="D58" s="8" t="s">
        <v>6234</v>
      </c>
      <c r="E58" s="8"/>
      <c r="F58" s="8" t="s">
        <v>6235</v>
      </c>
    </row>
    <row r="59" customFormat="false" ht="15" hidden="false" customHeight="false" outlineLevel="0" collapsed="false">
      <c r="A59" s="8" t="s">
        <v>6347</v>
      </c>
      <c r="B59" s="8" t="s">
        <v>6348</v>
      </c>
      <c r="C59" s="8" t="n">
        <v>2014</v>
      </c>
      <c r="D59" s="8" t="s">
        <v>6234</v>
      </c>
      <c r="E59" s="8"/>
      <c r="F59" s="8" t="s">
        <v>6235</v>
      </c>
    </row>
    <row r="60" customFormat="false" ht="15" hidden="false" customHeight="false" outlineLevel="0" collapsed="false">
      <c r="A60" s="8" t="s">
        <v>6349</v>
      </c>
      <c r="B60" s="8" t="s">
        <v>6350</v>
      </c>
      <c r="C60" s="8" t="n">
        <v>2017</v>
      </c>
      <c r="D60" s="8" t="s">
        <v>6234</v>
      </c>
      <c r="E60" s="8"/>
      <c r="F60" s="8" t="s">
        <v>6235</v>
      </c>
    </row>
    <row r="61" customFormat="false" ht="15" hidden="false" customHeight="false" outlineLevel="0" collapsed="false">
      <c r="A61" s="8" t="s">
        <v>6351</v>
      </c>
      <c r="B61" s="8" t="s">
        <v>6352</v>
      </c>
      <c r="C61" s="8" t="n">
        <v>2011</v>
      </c>
      <c r="D61" s="8" t="s">
        <v>6234</v>
      </c>
      <c r="E61" s="8"/>
      <c r="F61" s="8" t="s">
        <v>6235</v>
      </c>
    </row>
    <row r="62" customFormat="false" ht="15" hidden="false" customHeight="false" outlineLevel="0" collapsed="false">
      <c r="A62" s="8" t="s">
        <v>6353</v>
      </c>
      <c r="B62" s="8" t="s">
        <v>6354</v>
      </c>
      <c r="C62" s="8" t="n">
        <v>2012</v>
      </c>
      <c r="D62" s="8" t="s">
        <v>6234</v>
      </c>
      <c r="E62" s="8"/>
      <c r="F62" s="8" t="s">
        <v>6235</v>
      </c>
    </row>
    <row r="63" customFormat="false" ht="15" hidden="false" customHeight="false" outlineLevel="0" collapsed="false">
      <c r="A63" s="8" t="s">
        <v>6355</v>
      </c>
      <c r="B63" s="8" t="s">
        <v>4080</v>
      </c>
      <c r="C63" s="8" t="n">
        <v>2015</v>
      </c>
      <c r="D63" s="8" t="s">
        <v>58</v>
      </c>
      <c r="E63" s="8" t="s">
        <v>6356</v>
      </c>
      <c r="F63" s="8" t="s">
        <v>6357</v>
      </c>
    </row>
    <row r="64" customFormat="false" ht="15" hidden="false" customHeight="false" outlineLevel="0" collapsed="false">
      <c r="A64" s="8" t="s">
        <v>6358</v>
      </c>
      <c r="B64" s="8" t="s">
        <v>6359</v>
      </c>
      <c r="C64" s="8" t="n">
        <v>2013</v>
      </c>
      <c r="D64" s="8" t="s">
        <v>6234</v>
      </c>
      <c r="E64" s="8"/>
      <c r="F64" s="8" t="s">
        <v>6235</v>
      </c>
    </row>
    <row r="65" customFormat="false" ht="15" hidden="false" customHeight="false" outlineLevel="0" collapsed="false">
      <c r="A65" s="8" t="s">
        <v>6360</v>
      </c>
      <c r="B65" s="8" t="s">
        <v>619</v>
      </c>
      <c r="C65" s="8" t="n">
        <v>2018</v>
      </c>
      <c r="D65" s="8" t="s">
        <v>6234</v>
      </c>
      <c r="E65" s="8"/>
      <c r="F65" s="8" t="s">
        <v>6235</v>
      </c>
    </row>
    <row r="66" customFormat="false" ht="15" hidden="false" customHeight="false" outlineLevel="0" collapsed="false">
      <c r="A66" s="8" t="s">
        <v>6361</v>
      </c>
      <c r="B66" s="8" t="s">
        <v>6362</v>
      </c>
      <c r="C66" s="8" t="n">
        <v>2015</v>
      </c>
      <c r="D66" s="8" t="s">
        <v>6270</v>
      </c>
      <c r="E66" s="8" t="s">
        <v>6363</v>
      </c>
      <c r="F66" s="8" t="s">
        <v>6270</v>
      </c>
    </row>
    <row r="67" customFormat="false" ht="15" hidden="false" customHeight="false" outlineLevel="0" collapsed="false">
      <c r="A67" s="8" t="s">
        <v>6364</v>
      </c>
      <c r="B67" s="8" t="s">
        <v>6365</v>
      </c>
      <c r="C67" s="8" t="n">
        <v>2018</v>
      </c>
      <c r="D67" s="8" t="s">
        <v>6270</v>
      </c>
      <c r="E67" s="8" t="s">
        <v>6366</v>
      </c>
      <c r="F67" s="8" t="s">
        <v>6270</v>
      </c>
    </row>
    <row r="68" customFormat="false" ht="15" hidden="false" customHeight="false" outlineLevel="0" collapsed="false">
      <c r="A68" s="8" t="s">
        <v>6367</v>
      </c>
      <c r="B68" s="8" t="s">
        <v>6368</v>
      </c>
      <c r="C68" s="8" t="n">
        <v>2018</v>
      </c>
      <c r="D68" s="8" t="s">
        <v>6234</v>
      </c>
      <c r="E68" s="8"/>
      <c r="F68" s="8" t="s">
        <v>6235</v>
      </c>
    </row>
    <row r="69" customFormat="false" ht="15" hidden="false" customHeight="false" outlineLevel="0" collapsed="false">
      <c r="A69" s="8" t="s">
        <v>6369</v>
      </c>
      <c r="B69" s="8" t="s">
        <v>6354</v>
      </c>
      <c r="C69" s="8" t="n">
        <v>2012</v>
      </c>
      <c r="D69" s="8" t="s">
        <v>6234</v>
      </c>
      <c r="E69" s="8"/>
      <c r="F69" s="8" t="s">
        <v>6235</v>
      </c>
    </row>
    <row r="70" customFormat="false" ht="15" hidden="false" customHeight="false" outlineLevel="0" collapsed="false">
      <c r="A70" s="8" t="s">
        <v>6370</v>
      </c>
      <c r="B70" s="8" t="s">
        <v>6371</v>
      </c>
      <c r="C70" s="8" t="n">
        <v>2010</v>
      </c>
      <c r="D70" s="8" t="s">
        <v>6234</v>
      </c>
      <c r="E70" s="8"/>
      <c r="F70" s="8" t="s">
        <v>6235</v>
      </c>
    </row>
    <row r="71" customFormat="false" ht="15" hidden="false" customHeight="false" outlineLevel="0" collapsed="false">
      <c r="A71" s="8" t="s">
        <v>6372</v>
      </c>
      <c r="B71" s="8" t="s">
        <v>3675</v>
      </c>
      <c r="C71" s="8" t="n">
        <v>2013</v>
      </c>
      <c r="D71" s="8" t="s">
        <v>58</v>
      </c>
      <c r="E71" s="8" t="s">
        <v>6373</v>
      </c>
      <c r="F71" s="8" t="s">
        <v>6357</v>
      </c>
    </row>
    <row r="72" customFormat="false" ht="15" hidden="false" customHeight="false" outlineLevel="0" collapsed="false">
      <c r="A72" s="8" t="s">
        <v>6374</v>
      </c>
      <c r="B72" s="8" t="s">
        <v>6375</v>
      </c>
      <c r="C72" s="8" t="n">
        <v>2015</v>
      </c>
      <c r="D72" s="8" t="s">
        <v>6234</v>
      </c>
      <c r="E72" s="8"/>
      <c r="F72" s="8" t="s">
        <v>6235</v>
      </c>
    </row>
    <row r="73" customFormat="false" ht="15" hidden="false" customHeight="false" outlineLevel="0" collapsed="false">
      <c r="A73" s="8" t="s">
        <v>6376</v>
      </c>
      <c r="B73" s="8" t="s">
        <v>6377</v>
      </c>
      <c r="C73" s="8" t="n">
        <v>2018</v>
      </c>
      <c r="D73" s="8" t="s">
        <v>6234</v>
      </c>
      <c r="E73" s="8"/>
      <c r="F73" s="8" t="s">
        <v>6235</v>
      </c>
    </row>
    <row r="74" customFormat="false" ht="15" hidden="false" customHeight="false" outlineLevel="0" collapsed="false">
      <c r="A74" s="8" t="s">
        <v>6378</v>
      </c>
      <c r="B74" s="8" t="s">
        <v>3675</v>
      </c>
      <c r="C74" s="8" t="n">
        <v>2013</v>
      </c>
      <c r="D74" s="8" t="s">
        <v>58</v>
      </c>
      <c r="E74" s="8" t="s">
        <v>6379</v>
      </c>
      <c r="F74" s="8" t="s">
        <v>6357</v>
      </c>
    </row>
    <row r="75" customFormat="false" ht="15" hidden="false" customHeight="false" outlineLevel="0" collapsed="false">
      <c r="A75" s="8" t="s">
        <v>6380</v>
      </c>
      <c r="B75" s="8" t="s">
        <v>6381</v>
      </c>
      <c r="C75" s="8" t="n">
        <v>2004</v>
      </c>
      <c r="D75" s="8" t="s">
        <v>6234</v>
      </c>
      <c r="E75" s="8"/>
      <c r="F75" s="8" t="s">
        <v>6235</v>
      </c>
    </row>
    <row r="76" customFormat="false" ht="15" hidden="false" customHeight="false" outlineLevel="0" collapsed="false">
      <c r="A76" s="8" t="s">
        <v>6382</v>
      </c>
      <c r="B76" s="8" t="s">
        <v>6383</v>
      </c>
      <c r="C76" s="8" t="n">
        <v>2009</v>
      </c>
      <c r="D76" s="8" t="s">
        <v>6234</v>
      </c>
      <c r="E76" s="8"/>
      <c r="F76" s="8" t="s">
        <v>6235</v>
      </c>
    </row>
    <row r="77" customFormat="false" ht="15" hidden="false" customHeight="false" outlineLevel="0" collapsed="false">
      <c r="A77" s="8" t="s">
        <v>6384</v>
      </c>
      <c r="B77" s="8" t="s">
        <v>6385</v>
      </c>
      <c r="C77" s="8" t="n">
        <v>2007</v>
      </c>
      <c r="D77" s="8" t="s">
        <v>6234</v>
      </c>
      <c r="E77" s="8"/>
      <c r="F77" s="8" t="s">
        <v>6235</v>
      </c>
    </row>
    <row r="78" customFormat="false" ht="15" hidden="false" customHeight="false" outlineLevel="0" collapsed="false">
      <c r="A78" s="8" t="s">
        <v>6386</v>
      </c>
      <c r="B78" s="8" t="s">
        <v>6387</v>
      </c>
      <c r="C78" s="8" t="n">
        <v>2007</v>
      </c>
      <c r="D78" s="8" t="s">
        <v>6234</v>
      </c>
      <c r="E78" s="8"/>
      <c r="F78" s="8" t="s">
        <v>6235</v>
      </c>
    </row>
    <row r="79" customFormat="false" ht="15" hidden="false" customHeight="false" outlineLevel="0" collapsed="false">
      <c r="A79" s="8" t="s">
        <v>6388</v>
      </c>
      <c r="B79" s="8" t="s">
        <v>6389</v>
      </c>
      <c r="C79" s="8" t="n">
        <v>2007</v>
      </c>
      <c r="D79" s="8" t="s">
        <v>6234</v>
      </c>
      <c r="E79" s="8"/>
      <c r="F79" s="8" t="s">
        <v>6235</v>
      </c>
    </row>
    <row r="80" customFormat="false" ht="15" hidden="false" customHeight="false" outlineLevel="0" collapsed="false">
      <c r="A80" s="8" t="s">
        <v>6390</v>
      </c>
      <c r="B80" s="8" t="s">
        <v>5158</v>
      </c>
      <c r="C80" s="8" t="n">
        <v>2008</v>
      </c>
      <c r="D80" s="8" t="s">
        <v>83</v>
      </c>
      <c r="E80" s="8" t="s">
        <v>6391</v>
      </c>
      <c r="F80" s="8" t="s">
        <v>6357</v>
      </c>
    </row>
    <row r="81" customFormat="false" ht="15" hidden="false" customHeight="false" outlineLevel="0" collapsed="false">
      <c r="A81" s="8" t="s">
        <v>6392</v>
      </c>
      <c r="B81" s="8" t="s">
        <v>6393</v>
      </c>
      <c r="C81" s="8" t="n">
        <v>2004</v>
      </c>
      <c r="D81" s="8" t="s">
        <v>6234</v>
      </c>
      <c r="E81" s="8"/>
      <c r="F81" s="8" t="s">
        <v>6235</v>
      </c>
    </row>
    <row r="82" customFormat="false" ht="15" hidden="false" customHeight="false" outlineLevel="0" collapsed="false">
      <c r="A82" s="8" t="s">
        <v>6394</v>
      </c>
      <c r="B82" s="8" t="s">
        <v>6383</v>
      </c>
      <c r="C82" s="8" t="n">
        <v>2009</v>
      </c>
      <c r="D82" s="8" t="s">
        <v>6234</v>
      </c>
      <c r="E82" s="8"/>
      <c r="F82" s="8" t="s">
        <v>6235</v>
      </c>
    </row>
    <row r="83" customFormat="false" ht="15" hidden="false" customHeight="false" outlineLevel="0" collapsed="false">
      <c r="A83" s="8" t="s">
        <v>6395</v>
      </c>
      <c r="B83" s="8" t="s">
        <v>6396</v>
      </c>
      <c r="C83" s="8" t="n">
        <v>2005</v>
      </c>
      <c r="D83" s="8" t="s">
        <v>6234</v>
      </c>
      <c r="E83" s="8"/>
      <c r="F83" s="8" t="s">
        <v>6235</v>
      </c>
    </row>
    <row r="84" customFormat="false" ht="15" hidden="false" customHeight="false" outlineLevel="0" collapsed="false">
      <c r="A84" s="8" t="s">
        <v>6397</v>
      </c>
      <c r="B84" s="8" t="s">
        <v>6383</v>
      </c>
      <c r="C84" s="8" t="n">
        <v>2009</v>
      </c>
      <c r="D84" s="8" t="s">
        <v>6234</v>
      </c>
      <c r="E84" s="8"/>
      <c r="F84" s="8" t="s">
        <v>6235</v>
      </c>
    </row>
    <row r="85" customFormat="false" ht="15" hidden="false" customHeight="false" outlineLevel="0" collapsed="false">
      <c r="A85" s="8" t="s">
        <v>6398</v>
      </c>
      <c r="B85" s="8" t="s">
        <v>6383</v>
      </c>
      <c r="C85" s="8" t="n">
        <v>2009</v>
      </c>
      <c r="D85" s="8" t="s">
        <v>6234</v>
      </c>
      <c r="E85" s="8"/>
      <c r="F85" s="8" t="s">
        <v>6235</v>
      </c>
    </row>
    <row r="86" customFormat="false" ht="15" hidden="false" customHeight="false" outlineLevel="0" collapsed="false">
      <c r="A86" s="8" t="s">
        <v>6399</v>
      </c>
      <c r="B86" s="8" t="s">
        <v>6400</v>
      </c>
      <c r="C86" s="8" t="n">
        <v>2008</v>
      </c>
      <c r="D86" s="8" t="s">
        <v>58</v>
      </c>
      <c r="E86" s="8" t="s">
        <v>6401</v>
      </c>
      <c r="F86" s="8" t="s">
        <v>6402</v>
      </c>
    </row>
    <row r="87" customFormat="false" ht="15" hidden="false" customHeight="false" outlineLevel="0" collapsed="false">
      <c r="A87" s="8" t="s">
        <v>6403</v>
      </c>
      <c r="B87" s="8" t="s">
        <v>5332</v>
      </c>
      <c r="C87" s="8" t="n">
        <v>2007</v>
      </c>
      <c r="D87" s="8" t="s">
        <v>83</v>
      </c>
      <c r="E87" s="8" t="s">
        <v>6404</v>
      </c>
      <c r="F87" s="8" t="s">
        <v>6357</v>
      </c>
    </row>
    <row r="88" customFormat="false" ht="15" hidden="false" customHeight="false" outlineLevel="0" collapsed="false">
      <c r="A88" s="8" t="s">
        <v>6405</v>
      </c>
      <c r="B88" s="8" t="s">
        <v>6406</v>
      </c>
      <c r="C88" s="8" t="n">
        <v>2008</v>
      </c>
      <c r="D88" s="8" t="s">
        <v>6234</v>
      </c>
      <c r="E88" s="8"/>
      <c r="F88" s="8" t="s">
        <v>6235</v>
      </c>
    </row>
    <row r="89" customFormat="false" ht="15" hidden="false" customHeight="false" outlineLevel="0" collapsed="false">
      <c r="A89" s="8" t="s">
        <v>6407</v>
      </c>
      <c r="B89" s="8" t="s">
        <v>4699</v>
      </c>
      <c r="C89" s="8" t="n">
        <v>2008</v>
      </c>
      <c r="D89" s="8" t="s">
        <v>58</v>
      </c>
      <c r="E89" s="8" t="s">
        <v>6408</v>
      </c>
      <c r="F89" s="8" t="s">
        <v>6357</v>
      </c>
    </row>
    <row r="90" customFormat="false" ht="15" hidden="false" customHeight="false" outlineLevel="0" collapsed="false">
      <c r="A90" s="8" t="s">
        <v>6409</v>
      </c>
      <c r="B90" s="8" t="s">
        <v>6410</v>
      </c>
      <c r="C90" s="8" t="n">
        <v>2007</v>
      </c>
      <c r="D90" s="8" t="s">
        <v>58</v>
      </c>
      <c r="E90" s="8" t="s">
        <v>6411</v>
      </c>
      <c r="F90" s="8" t="s">
        <v>6402</v>
      </c>
    </row>
    <row r="91" customFormat="false" ht="15" hidden="false" customHeight="false" outlineLevel="0" collapsed="false">
      <c r="A91" s="8" t="s">
        <v>6412</v>
      </c>
      <c r="B91" s="8" t="s">
        <v>6413</v>
      </c>
      <c r="C91" s="8" t="n">
        <v>2005</v>
      </c>
      <c r="D91" s="8" t="s">
        <v>6234</v>
      </c>
      <c r="E91" s="8"/>
      <c r="F91" s="8" t="s">
        <v>6235</v>
      </c>
    </row>
    <row r="92" customFormat="false" ht="15" hidden="false" customHeight="false" outlineLevel="0" collapsed="false">
      <c r="A92" s="8" t="s">
        <v>6414</v>
      </c>
      <c r="B92" s="8" t="s">
        <v>6415</v>
      </c>
      <c r="C92" s="8" t="n">
        <v>1996</v>
      </c>
      <c r="D92" s="8" t="s">
        <v>6234</v>
      </c>
      <c r="E92" s="8"/>
      <c r="F92" s="8" t="s">
        <v>6235</v>
      </c>
    </row>
    <row r="93" customFormat="false" ht="15" hidden="false" customHeight="false" outlineLevel="0" collapsed="false">
      <c r="A93" s="8" t="s">
        <v>6416</v>
      </c>
      <c r="B93" s="8" t="s">
        <v>6417</v>
      </c>
      <c r="C93" s="8" t="n">
        <v>2002</v>
      </c>
      <c r="D93" s="8" t="s">
        <v>6234</v>
      </c>
      <c r="E93" s="8"/>
      <c r="F93" s="8" t="s">
        <v>6235</v>
      </c>
    </row>
    <row r="94" customFormat="false" ht="15" hidden="false" customHeight="false" outlineLevel="0" collapsed="false">
      <c r="A94" s="8" t="s">
        <v>6418</v>
      </c>
      <c r="B94" s="8" t="s">
        <v>6419</v>
      </c>
      <c r="C94" s="8" t="n">
        <v>1992</v>
      </c>
      <c r="D94" s="8" t="s">
        <v>6234</v>
      </c>
      <c r="E94" s="8"/>
      <c r="F94" s="8" t="s">
        <v>6235</v>
      </c>
    </row>
    <row r="95" customFormat="false" ht="15" hidden="false" customHeight="false" outlineLevel="0" collapsed="false">
      <c r="A95" s="8" t="s">
        <v>6420</v>
      </c>
      <c r="B95" s="8" t="s">
        <v>6421</v>
      </c>
      <c r="C95" s="8" t="n">
        <v>1990</v>
      </c>
      <c r="D95" s="8" t="s">
        <v>6234</v>
      </c>
      <c r="E95" s="8"/>
      <c r="F95" s="8" t="s">
        <v>6235</v>
      </c>
    </row>
    <row r="96" customFormat="false" ht="15" hidden="false" customHeight="false" outlineLevel="0" collapsed="false">
      <c r="A96" s="8" t="s">
        <v>6422</v>
      </c>
      <c r="B96" s="8" t="s">
        <v>6423</v>
      </c>
      <c r="C96" s="8" t="n">
        <v>1996</v>
      </c>
      <c r="D96" s="8" t="s">
        <v>83</v>
      </c>
      <c r="E96" s="8" t="s">
        <v>6105</v>
      </c>
      <c r="F96" s="8" t="s">
        <v>6357</v>
      </c>
    </row>
    <row r="97" customFormat="false" ht="15" hidden="false" customHeight="false" outlineLevel="0" collapsed="false">
      <c r="A97" s="8" t="s">
        <v>6424</v>
      </c>
      <c r="B97" s="8" t="s">
        <v>6425</v>
      </c>
      <c r="C97" s="8" t="n">
        <v>1996</v>
      </c>
      <c r="D97" s="8" t="s">
        <v>6242</v>
      </c>
      <c r="E97" s="8" t="s">
        <v>6426</v>
      </c>
      <c r="F97" s="8" t="s">
        <v>6242</v>
      </c>
    </row>
  </sheetData>
  <autoFilter ref="A1:F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2026-09-30T05:16:47Z</dcterms:created>
  <dc:creator>openpyxl</dc:creator>
  <dc:description/>
  <dc:language>en-US</dc:language>
  <cp:lastModifiedBy/>
  <dcterms:modified xsi:type="dcterms:W3CDTF">2026-09-30T05:16:47Z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